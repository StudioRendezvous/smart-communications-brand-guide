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igital Marketing" sheetId="3" state="visible" r:id="rId3"/>
    <sheet xmlns:r="http://schemas.openxmlformats.org/officeDocument/2006/relationships" name="Creative" sheetId="4" state="visible" r:id="rId4"/>
    <sheet xmlns:r="http://schemas.openxmlformats.org/officeDocument/2006/relationships" name="Content" sheetId="5" state="visible" r:id="rId5"/>
    <sheet xmlns:r="http://schemas.openxmlformats.org/officeDocument/2006/relationships" name="Events" sheetId="6" state="visible" r:id="rId6"/>
    <sheet xmlns:r="http://schemas.openxmlformats.org/officeDocument/2006/relationships" name="Customer Advocacy" sheetId="7" state="visible" r:id="rId7"/>
    <sheet xmlns:r="http://schemas.openxmlformats.org/officeDocument/2006/relationships" name="Public Relations" sheetId="8" state="visible" r:id="rId8"/>
    <sheet xmlns:r="http://schemas.openxmlformats.org/officeDocument/2006/relationships" name="Technology" sheetId="9" state="visible" r:id="rId9"/>
    <sheet xmlns:r="http://schemas.openxmlformats.org/officeDocument/2006/relationships" name="Lists" sheetId="10" state="visible" r:id="rId10"/>
  </sheets>
  <definedNames>
    <definedName name="_xlnm._FilterDatabase" localSheetId="2" hidden="1">'Digital Marketing'!$B$8:$J$38</definedName>
    <definedName name="_xlnm._FilterDatabase" localSheetId="3" hidden="1">'Creative'!$B$8:$J$38</definedName>
    <definedName name="_xlnm._FilterDatabase" localSheetId="4" hidden="1">'Content'!$B$8:$J$38</definedName>
    <definedName name="_xlnm._FilterDatabase" localSheetId="5" hidden="1">'Events'!$B$8:$J$38</definedName>
    <definedName name="_xlnm._FilterDatabase" localSheetId="6" hidden="1">'Customer Advocacy'!$B$8:$J$38</definedName>
    <definedName name="_xlnm._FilterDatabase" localSheetId="7" hidden="1">'Public Relations'!$B$8:$J$38</definedName>
    <definedName name="_xlnm._FilterDatabase" localSheetId="8" hidden="1">'Technology'!$B$8:$J$38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;-$#,##0;&quot;–&quot;"/>
    <numFmt numFmtId="165" formatCode="▲ $#,##0;▼ $#,##0;&quot;–&quot;"/>
    <numFmt numFmtId="166" formatCode="▲ 0.0%;▼ 0.0%;&quot;–&quot;"/>
    <numFmt numFmtId="167" formatCode="yyyy-mm-dd"/>
    <numFmt numFmtId="168" formatCode="d mmm yyyy"/>
  </numFmts>
  <fonts count="9">
    <font>
      <name val="Segoe UI"/>
      <family val="2"/>
      <color rgb="00183958"/>
      <sz val="11"/>
      <scheme val="minor"/>
    </font>
    <font>
      <name val="Segoe UI"/>
      <color rgb="00183958"/>
      <sz val="11"/>
    </font>
    <font>
      <name val="Segoe UI"/>
      <b val="1"/>
      <color rgb="00FFFFFF"/>
      <sz val="16"/>
    </font>
    <font>
      <name val="Segoe UI"/>
      <b val="1"/>
      <color rgb="000E2030"/>
      <sz val="13"/>
    </font>
    <font>
      <name val="Segoe UI"/>
      <color rgb="000A3184"/>
      <sz val="11"/>
    </font>
    <font>
      <name val="Segoe UI"/>
      <b val="1"/>
      <color rgb="000E2030"/>
      <sz val="11"/>
    </font>
    <font>
      <name val="Segoe UI"/>
      <color rgb="00677C91"/>
      <sz val="10"/>
    </font>
    <font>
      <name val="Segoe UI"/>
      <b val="1"/>
      <color rgb="00FFFFFF"/>
      <sz val="11"/>
    </font>
    <font>
      <name val="Segoe UI"/>
      <b val="1"/>
      <color rgb="000A3184"/>
      <sz val="12"/>
    </font>
  </fonts>
  <fills count="6">
    <fill>
      <patternFill/>
    </fill>
    <fill>
      <patternFill patternType="gray125"/>
    </fill>
    <fill>
      <patternFill patternType="solid">
        <fgColor rgb="00326EEF"/>
      </patternFill>
    </fill>
    <fill>
      <patternFill patternType="solid">
        <fgColor rgb="00EFF4F9"/>
      </patternFill>
    </fill>
    <fill>
      <patternFill patternType="solid">
        <fgColor rgb="000E2030"/>
      </patternFill>
    </fill>
    <fill>
      <patternFill patternType="solid">
        <fgColor rgb="00E0E9F2"/>
      </patternFill>
    </fill>
  </fills>
  <borders count="6">
    <border>
      <left/>
      <right/>
      <top/>
      <bottom/>
      <diagonal/>
    </border>
    <border>
      <bottom style="thin">
        <color rgb="00D0DEEC"/>
      </bottom>
    </border>
    <border>
      <left style="thin">
        <color rgb="00FFFFFF"/>
      </left>
      <bottom style="thin">
        <color rgb="00D0DEEC"/>
      </bottom>
    </border>
    <border>
      <left style="thin">
        <color rgb="00FFFFFF"/>
      </left>
    </border>
    <border>
      <left style="thin">
        <color rgb="00FFFFFF"/>
      </left>
      <top style="thin">
        <color rgb="000E2030"/>
      </top>
    </border>
    <border>
      <left/>
      <right/>
      <top/>
      <bottom style="thin">
        <color rgb="00D0DEEC"/>
      </bottom>
      <diagonal/>
    </border>
  </borders>
  <cellStyleXfs count="1">
    <xf numFmtId="0" fontId="1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2" fillId="2" borderId="0" applyAlignment="1" pivotButton="0" quotePrefix="0" xfId="0">
      <alignment vertical="center"/>
    </xf>
    <xf numFmtId="0" fontId="3" fillId="0" borderId="0" pivotButton="0" quotePrefix="0" xfId="0"/>
    <xf numFmtId="0" fontId="1" fillId="0" borderId="0" pivotButton="0" quotePrefix="0" xfId="0"/>
    <xf numFmtId="0" fontId="4" fillId="0" borderId="1" pivotButton="0" quotePrefix="0" xfId="0"/>
    <xf numFmtId="0" fontId="1" fillId="3" borderId="0" pivotButton="0" quotePrefix="0" xfId="0"/>
    <xf numFmtId="0" fontId="5" fillId="0" borderId="0" pivotButton="0" quotePrefix="0" xfId="0"/>
    <xf numFmtId="1" fontId="4" fillId="0" borderId="2" applyAlignment="1" pivotButton="0" quotePrefix="0" xfId="0">
      <alignment horizontal="left" vertical="top" indent="1"/>
    </xf>
    <xf numFmtId="0" fontId="6" fillId="0" borderId="0" pivotButton="0" quotePrefix="0" xfId="0"/>
    <xf numFmtId="0" fontId="7" fillId="4" borderId="3" applyAlignment="1" pivotButton="0" quotePrefix="0" xfId="0">
      <alignment horizontal="left" vertical="center" wrapText="1" indent="1"/>
    </xf>
    <xf numFmtId="0" fontId="1" fillId="0" borderId="2" applyAlignment="1" pivotButton="0" quotePrefix="0" xfId="0">
      <alignment horizontal="left" vertical="top" indent="1"/>
    </xf>
    <xf numFmtId="164" fontId="1" fillId="3" borderId="2" applyAlignment="1" pivotButton="0" quotePrefix="0" xfId="0">
      <alignment horizontal="right" vertical="top" indent="1"/>
    </xf>
    <xf numFmtId="165" fontId="1" fillId="3" borderId="2" applyAlignment="1" pivotButton="0" quotePrefix="0" xfId="0">
      <alignment horizontal="right" vertical="top" indent="1"/>
    </xf>
    <xf numFmtId="166" fontId="1" fillId="3" borderId="2" applyAlignment="1" pivotButton="0" quotePrefix="0" xfId="0">
      <alignment horizontal="right" vertical="top" indent="1"/>
    </xf>
    <xf numFmtId="0" fontId="5" fillId="5" borderId="4" applyAlignment="1" pivotButton="0" quotePrefix="0" xfId="0">
      <alignment horizontal="left" vertical="center" indent="1"/>
    </xf>
    <xf numFmtId="164" fontId="5" fillId="5" borderId="4" applyAlignment="1" pivotButton="0" quotePrefix="0" xfId="0">
      <alignment horizontal="right" vertical="center" indent="1"/>
    </xf>
    <xf numFmtId="165" fontId="5" fillId="5" borderId="4" applyAlignment="1" pivotButton="0" quotePrefix="0" xfId="0">
      <alignment horizontal="right" vertical="center" indent="1"/>
    </xf>
    <xf numFmtId="166" fontId="5" fillId="5" borderId="4" applyAlignment="1" pivotButton="0" quotePrefix="0" xfId="0">
      <alignment horizontal="right" vertical="center" indent="1"/>
    </xf>
    <xf numFmtId="0" fontId="4" fillId="0" borderId="2" applyAlignment="1" pivotButton="0" quotePrefix="0" xfId="0">
      <alignment horizontal="left" vertical="top" indent="1"/>
    </xf>
    <xf numFmtId="164" fontId="4" fillId="0" borderId="2" applyAlignment="1" pivotButton="0" quotePrefix="0" xfId="0">
      <alignment horizontal="right" vertical="top" indent="1"/>
    </xf>
    <xf numFmtId="0" fontId="4" fillId="0" borderId="2" applyAlignment="1" pivotButton="0" quotePrefix="0" xfId="0">
      <alignment horizontal="left" vertical="top" wrapText="1" indent="1"/>
    </xf>
    <xf numFmtId="0" fontId="0" fillId="0" borderId="5" pivotButton="0" quotePrefix="0" xfId="0"/>
    <xf numFmtId="0" fontId="5" fillId="5" borderId="4" applyAlignment="1" pivotButton="0" quotePrefix="0" xfId="0">
      <alignment horizontal="right" vertical="center" indent="1"/>
    </xf>
    <xf numFmtId="168" fontId="4" fillId="0" borderId="2" applyAlignment="1" pivotButton="0" quotePrefix="0" xfId="0">
      <alignment horizontal="right" vertical="top" indent="1"/>
    </xf>
    <xf numFmtId="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roundedCorners val="0"/>
  <chart>
    <title>
      <tx>
        <strRef>
          <f>'Summary'!$B$35</f>
          <strCache>
            <ptCount val="1"/>
            <pt idx="0">
              <v>Budget by function</v>
            </pt>
          </strCache>
        </strRef>
      </tx>
      <layout>
        <manualLayout>
          <xMode val="edge"/>
          <yMode val="edge"/>
          <wMode val="factor"/>
          <hMode val="factor"/>
          <x val="0.02"/>
          <y val="0.03"/>
        </manualLayout>
      </layout>
      <overlay val="0"/>
      <txPr>
        <a:bodyPr xmlns:a="http://schemas.openxmlformats.org/drawingml/2006/main"/>
        <a:p xmlns:a="http://schemas.openxmlformats.org/drawingml/2006/main">
          <a:pPr>
            <a:defRPr sz="1800" b="1">
              <a:solidFill>
                <a:srgbClr val="0E2030"/>
              </a:solidFill>
              <a:latin typeface="Segoe UI"/>
            </a:defRPr>
          </a:pPr>
          <a:r>
            <a:t/>
          </a:r>
          <a:endParaRPr sz="1800" b="1">
            <a:solidFill>
              <a:srgbClr val="0E2030"/>
            </a:solidFill>
            <a:latin typeface="Segoe UI"/>
          </a:endParaRPr>
        </a:p>
      </txPr>
    </title>
    <plotArea>
      <layout>
        <manualLayout>
          <xMode val="edge"/>
          <yMode val="edge"/>
          <wMode val="factor"/>
          <hMode val="factor"/>
          <x val="0.02"/>
          <y val="0.16"/>
          <w val="0.96"/>
          <h val="0.77"/>
        </manualLayout>
      </layout>
      <barChart>
        <barDir val="bar"/>
        <grouping val="clustered"/>
        <ser>
          <idx val="0"/>
          <order val="0"/>
          <tx>
            <strRef>
              <f>'Summary'!$C$9</f>
              <strCache>
                <ptCount val="1"/>
                <pt idx="0">
                  <v>2026 budget</v>
                </pt>
              </strCache>
            </strRef>
          </tx>
          <spPr>
            <a:solidFill xmlns:a="http://schemas.openxmlformats.org/drawingml/2006/main">
              <a:srgbClr val="0094FF"/>
            </a:solidFill>
            <a:ln xmlns:a="http://schemas.openxmlformats.org/drawingml/2006/main">
              <a:noFill/>
              <a:prstDash val="solid"/>
            </a:ln>
          </spPr>
          <cat>
            <numRef>
              <f>'Summary'!$B$10:$B$16</f>
            </numRef>
          </cat>
          <val>
            <numRef>
              <f>'Summary'!$C$10:$C$16</f>
            </numRef>
          </val>
        </ser>
        <ser>
          <idx val="1"/>
          <order val="1"/>
          <tx>
            <strRef>
              <f>'Summary'!$D$9</f>
              <strCache>
                <ptCount val="1"/>
                <pt idx="0">
                  <v>2027 budget</v>
                </pt>
              </strCache>
            </strRef>
          </tx>
          <spPr>
            <a:solidFill xmlns:a="http://schemas.openxmlformats.org/drawingml/2006/main">
              <a:srgbClr val="661DEE"/>
            </a:solidFill>
            <a:ln xmlns:a="http://schemas.openxmlformats.org/drawingml/2006/main">
              <a:noFill/>
              <a:prstDash val="solid"/>
            </a:ln>
          </spPr>
          <cat>
            <numRef>
              <f>'Summary'!$B$10:$B$16</f>
            </numRef>
          </cat>
          <val>
            <numRef>
              <f>'Summary'!$D$10:$D$16</f>
            </numRef>
          </val>
        </ser>
        <gapWidth val="55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D0DEEC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300" b="0">
                <a:solidFill>
                  <a:srgbClr val="183958"/>
                </a:solidFill>
                <a:latin typeface="Segoe UI"/>
              </a:defRPr>
            </a:pPr>
            <a:r>
              <a:t/>
            </a:r>
            <a:endParaRPr sz="1300" b="0">
              <a:solidFill>
                <a:srgbClr val="183958"/>
              </a:solidFill>
              <a:latin typeface="Segoe UI"/>
            </a:endParaRPr>
          </a:p>
        </txPr>
        <crossAx val="100"/>
        <lblOffset val="200"/>
      </catAx>
      <valAx>
        <axId val="100"/>
        <scaling>
          <orientation val="minMax"/>
        </scaling>
        <delete val="1"/>
        <axPos val="l"/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300" b="0">
                <a:solidFill>
                  <a:srgbClr val="677C91"/>
                </a:solidFill>
                <a:latin typeface="Segoe UI"/>
              </a:defRPr>
            </a:pPr>
            <a:r>
              <a:t/>
            </a:r>
            <a:endParaRPr sz="1300" b="0">
              <a:solidFill>
                <a:srgbClr val="677C91"/>
              </a:solidFill>
              <a:latin typeface="Segoe UI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t"/>
      <layout>
        <manualLayout>
          <xMode val="edge"/>
          <yMode val="edge"/>
          <wMode val="factor"/>
          <hMode val="factor"/>
          <x val="0.6121931818181818"/>
          <y val="0.035"/>
          <w val="0.3678068181818182"/>
          <h val="0.075"/>
        </manualLayout>
      </layout>
      <overlay val="0"/>
      <txPr>
        <a:bodyPr xmlns:a="http://schemas.openxmlformats.org/drawingml/2006/main"/>
        <a:p xmlns:a="http://schemas.openxmlformats.org/drawingml/2006/main">
          <a:pPr>
            <a:defRPr sz="1500" b="0">
              <a:solidFill>
                <a:srgbClr val="183958"/>
              </a:solidFill>
              <a:latin typeface="Segoe UI"/>
            </a:defRPr>
          </a:pPr>
          <a:r>
            <a:t/>
          </a:r>
          <a:endParaRPr sz="1500" b="0">
            <a:solidFill>
              <a:srgbClr val="183958"/>
            </a:solidFill>
            <a:latin typeface="Segoe UI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2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21583650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36</row>
      <rowOff>0</rowOff>
    </from>
    <ext cx="7920000" cy="48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0</row>
      <rowOff>0</rowOff>
    </from>
    <ext cx="22059900" cy="609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25546050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25546050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25546050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25546050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25546050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25546050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25546050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20869275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Smart Communications 2026">
      <a:dk1>
        <a:srgbClr val="0E2030"/>
      </a:dk1>
      <a:lt1>
        <a:srgbClr val="FFFFFF"/>
      </a:lt1>
      <a:dk2>
        <a:srgbClr val="03102C"/>
      </a:dk2>
      <a:lt2>
        <a:srgbClr val="EFF4F9"/>
      </a:lt2>
      <a:accent1>
        <a:srgbClr val="0094FF"/>
      </a:accent1>
      <a:accent2>
        <a:srgbClr val="661DEE"/>
      </a:accent2>
      <a:accent3>
        <a:srgbClr val="57B8FF"/>
      </a:accent3>
      <a:accent4>
        <a:srgbClr val="1344C1"/>
      </a:accent4>
      <a:accent5>
        <a:srgbClr val="BE9DFA"/>
      </a:accent5>
      <a:accent6>
        <a:srgbClr val="0062A8"/>
      </a:accent6>
      <a:hlink>
        <a:srgbClr val="326EEF"/>
      </a:hlink>
      <a:folHlink>
        <a:srgbClr val="9963FD"/>
      </a:folHlink>
    </a:clrScheme>
    <a:fontScheme name="Office">
      <a:majorFont>
        <a:latin typeface="Segoe U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Segoe U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tabColor rgb="000E2030"/>
    <outlinePr summaryBelow="1" summaryRight="1"/>
    <pageSetUpPr fitToPage="1"/>
  </sheetPr>
  <dimension ref="A1:S21"/>
  <sheetViews>
    <sheetView showGridLines="0" zoomScale="100" workbookViewId="0">
      <selection activeCell="A1" sqref="A1"/>
    </sheetView>
  </sheetViews>
  <sheetFormatPr baseColWidth="8" defaultRowHeight="18"/>
  <cols>
    <col width="2.5" customWidth="1" min="1" max="1"/>
    <col width="24" customWidth="1" min="2" max="2"/>
    <col width="2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 ht="48" customHeight="1">
      <c r="A1" s="1" t="n"/>
      <c r="B1" s="2" t="inlineStr">
        <is>
          <t>Budget planning workbook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6" customHeight="1"/>
    <row r="4">
      <c r="B4" s="3" t="inlineStr">
        <is>
          <t>How to use</t>
        </is>
      </c>
    </row>
    <row r="5">
      <c r="B5" s="4" t="inlineStr">
        <is>
          <t>1. Set the plan year on the Summary tab. Every year label in the workbook follows it.</t>
        </is>
      </c>
    </row>
    <row r="6">
      <c r="B6" s="4" t="inlineStr">
        <is>
          <t>2. On each function tab, list every line item: category, activity, vendor, last year's budget and actual,</t>
        </is>
      </c>
    </row>
    <row r="7">
      <c r="B7" s="4" t="inlineStr">
        <is>
          <t xml:space="preserve">    and next year's budget. Variance and totals calculate.</t>
        </is>
      </c>
    </row>
    <row r="8">
      <c r="B8" s="4" t="inlineStr">
        <is>
          <t>3. The Summary rolls every function up, adds adjustments made outside the function tabs and lists</t>
        </is>
      </c>
    </row>
    <row r="9">
      <c r="B9" s="4" t="inlineStr">
        <is>
          <t xml:space="preserve">    net-new headcount. Its chart updates with the numbers.</t>
        </is>
      </c>
    </row>
    <row r="10">
      <c r="B10" s="4" t="inlineStr">
        <is>
          <t>4. To add a function, copy a function tab, rename it and add a row to the Summary that points to its total.</t>
        </is>
      </c>
    </row>
    <row r="11">
      <c r="B11" s="4" t="inlineStr"/>
    </row>
    <row r="12">
      <c r="B12" s="3" t="inlineStr">
        <is>
          <t>Reading the numbers</t>
        </is>
      </c>
    </row>
    <row r="13">
      <c r="B13" s="4" t="inlineStr">
        <is>
          <t>Variance is next year's budget minus last year's: ▲ is an increase, ▼ a decrease.</t>
        </is>
      </c>
    </row>
    <row r="14">
      <c r="B14" s="4" t="inlineStr">
        <is>
          <t>Categories come from the Lists tab; type a new one if nothing fits, then add it to the list.</t>
        </is>
      </c>
    </row>
    <row r="15">
      <c r="B15" s="4" t="inlineStr"/>
    </row>
    <row r="16">
      <c r="B16" s="3" t="inlineStr">
        <is>
          <t>Cell styles</t>
        </is>
      </c>
    </row>
    <row r="17">
      <c r="B17" s="4" t="inlineStr">
        <is>
          <t>Blue text on white = edit me · navy text on light blue = formula, leave it</t>
        </is>
      </c>
    </row>
    <row r="18">
      <c r="B18" s="4" t="inlineStr"/>
    </row>
    <row r="19">
      <c r="B19" s="4" t="inlineStr">
        <is>
          <t>All names and numbers in this template are examples. Replace them with your own.</t>
        </is>
      </c>
    </row>
    <row r="21">
      <c r="B21" s="5" t="inlineStr">
        <is>
          <t>Example input cell</t>
        </is>
      </c>
      <c r="C21" s="6" t="inlineStr">
        <is>
          <t>Example calculated cell</t>
        </is>
      </c>
    </row>
  </sheetData>
  <printOptions horizontalCentered="1"/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94FF"/>
    <outlinePr summaryBelow="1" summaryRight="1"/>
    <pageSetUpPr fitToPage="1"/>
  </sheetPr>
  <dimension ref="A1:S35"/>
  <sheetViews>
    <sheetView showGridLines="0" zoomScale="100" workbookViewId="0">
      <selection activeCell="A1" sqref="A1"/>
    </sheetView>
  </sheetViews>
  <sheetFormatPr baseColWidth="8" defaultRowHeight="18"/>
  <cols>
    <col width="2.5" customWidth="1" min="1" max="1"/>
    <col width="34" customWidth="1" min="2" max="2"/>
    <col width="16" customWidth="1" min="3" max="3"/>
    <col width="16" customWidth="1" min="4" max="4"/>
    <col width="15" customWidth="1" min="5" max="5"/>
    <col width="14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 ht="48" customHeight="1">
      <c r="A1" s="1" t="n"/>
      <c r="B1" s="2" t="inlineStr">
        <is>
          <t>Budget summary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6" customHeight="1"/>
    <row r="4">
      <c r="B4" s="4" t="inlineStr">
        <is>
          <t>The plan for every function on one page. It fills in from the function tabs. Blue text on white is yours to fill in. Light-blue cells calculate; leave them as they are.</t>
        </is>
      </c>
    </row>
    <row r="6">
      <c r="B6" s="7" t="inlineStr">
        <is>
          <t>Plan year</t>
        </is>
      </c>
      <c r="C6" s="8" t="n">
        <v>2027</v>
      </c>
      <c r="D6" s="9" t="inlineStr">
        <is>
          <t>Change it and every year label in the workbook follows.</t>
        </is>
      </c>
    </row>
    <row r="8">
      <c r="B8" s="3" t="inlineStr">
        <is>
          <t>Budget by function</t>
        </is>
      </c>
    </row>
    <row r="9" ht="34" customHeight="1">
      <c r="B9" s="10" t="inlineStr">
        <is>
          <t>Function</t>
        </is>
      </c>
      <c r="C9" s="10">
        <f>$C$6-1&amp;" budget"</f>
        <v/>
      </c>
      <c r="D9" s="10">
        <f>$C$6&amp;" budget"</f>
        <v/>
      </c>
      <c r="E9" s="10" t="inlineStr">
        <is>
          <t>Variance $</t>
        </is>
      </c>
      <c r="F9" s="10" t="inlineStr">
        <is>
          <t>Variance %</t>
        </is>
      </c>
    </row>
    <row r="10">
      <c r="B10" s="11" t="inlineStr">
        <is>
          <t>Digital Marketing</t>
        </is>
      </c>
      <c r="C10" s="12">
        <f>'Digital Marketing'!E39</f>
        <v/>
      </c>
      <c r="D10" s="12">
        <f>'Digital Marketing'!G39</f>
        <v/>
      </c>
      <c r="E10" s="13">
        <f>D10-C10</f>
        <v/>
      </c>
      <c r="F10" s="14">
        <f>IF(C10=0,"",E10/C10)</f>
        <v/>
      </c>
    </row>
    <row r="11">
      <c r="B11" s="11" t="inlineStr">
        <is>
          <t>Creative</t>
        </is>
      </c>
      <c r="C11" s="12">
        <f>Creative!E39</f>
        <v/>
      </c>
      <c r="D11" s="12">
        <f>Creative!G39</f>
        <v/>
      </c>
      <c r="E11" s="13">
        <f>D11-C11</f>
        <v/>
      </c>
      <c r="F11" s="14">
        <f>IF(C11=0,"",E11/C11)</f>
        <v/>
      </c>
    </row>
    <row r="12">
      <c r="B12" s="11" t="inlineStr">
        <is>
          <t>Content</t>
        </is>
      </c>
      <c r="C12" s="12">
        <f>Content!E39</f>
        <v/>
      </c>
      <c r="D12" s="12">
        <f>Content!G39</f>
        <v/>
      </c>
      <c r="E12" s="13">
        <f>D12-C12</f>
        <v/>
      </c>
      <c r="F12" s="14">
        <f>IF(C12=0,"",E12/C12)</f>
        <v/>
      </c>
    </row>
    <row r="13">
      <c r="B13" s="11" t="inlineStr">
        <is>
          <t>Events</t>
        </is>
      </c>
      <c r="C13" s="12">
        <f>Events!E39</f>
        <v/>
      </c>
      <c r="D13" s="12">
        <f>Events!G39</f>
        <v/>
      </c>
      <c r="E13" s="13">
        <f>D13-C13</f>
        <v/>
      </c>
      <c r="F13" s="14">
        <f>IF(C13=0,"",E13/C13)</f>
        <v/>
      </c>
    </row>
    <row r="14">
      <c r="B14" s="11" t="inlineStr">
        <is>
          <t>Customer Advocacy</t>
        </is>
      </c>
      <c r="C14" s="12">
        <f>'Customer Advocacy'!E39</f>
        <v/>
      </c>
      <c r="D14" s="12">
        <f>'Customer Advocacy'!G39</f>
        <v/>
      </c>
      <c r="E14" s="13">
        <f>D14-C14</f>
        <v/>
      </c>
      <c r="F14" s="14">
        <f>IF(C14=0,"",E14/C14)</f>
        <v/>
      </c>
    </row>
    <row r="15">
      <c r="B15" s="11" t="inlineStr">
        <is>
          <t>Public Relations</t>
        </is>
      </c>
      <c r="C15" s="12">
        <f>'Public Relations'!E39</f>
        <v/>
      </c>
      <c r="D15" s="12">
        <f>'Public Relations'!G39</f>
        <v/>
      </c>
      <c r="E15" s="13">
        <f>D15-C15</f>
        <v/>
      </c>
      <c r="F15" s="14">
        <f>IF(C15=0,"",E15/C15)</f>
        <v/>
      </c>
    </row>
    <row r="16">
      <c r="B16" s="11" t="inlineStr">
        <is>
          <t>Technology</t>
        </is>
      </c>
      <c r="C16" s="12">
        <f>Technology!E39</f>
        <v/>
      </c>
      <c r="D16" s="12">
        <f>Technology!G39</f>
        <v/>
      </c>
      <c r="E16" s="13">
        <f>D16-C16</f>
        <v/>
      </c>
      <c r="F16" s="14">
        <f>IF(C16=0,"",E16/C16)</f>
        <v/>
      </c>
    </row>
    <row r="17">
      <c r="B17" s="15" t="inlineStr">
        <is>
          <t>Total</t>
        </is>
      </c>
      <c r="C17" s="16">
        <f>SUM(C10:C16)</f>
        <v/>
      </c>
      <c r="D17" s="16">
        <f>SUM(D10:D16)</f>
        <v/>
      </c>
      <c r="E17" s="17">
        <f>D17-C17</f>
        <v/>
      </c>
      <c r="F17" s="18">
        <f>IF(C17=0,"",E17/C17)</f>
        <v/>
      </c>
    </row>
    <row r="19">
      <c r="B19" s="3" t="inlineStr">
        <is>
          <t>Adjustments outside the function tabs</t>
        </is>
      </c>
    </row>
    <row r="20" ht="22" customHeight="1">
      <c r="B20" s="10" t="inlineStr">
        <is>
          <t>Adjustment</t>
        </is>
      </c>
      <c r="C20" s="10" t="inlineStr">
        <is>
          <t>Amount</t>
        </is>
      </c>
      <c r="D20" s="10" t="inlineStr">
        <is>
          <t>Notes</t>
        </is>
      </c>
    </row>
    <row r="21">
      <c r="B21" s="19" t="inlineStr">
        <is>
          <t>Spend moved in from another team</t>
        </is>
      </c>
      <c r="C21" s="20" t="n">
        <v>25000</v>
      </c>
      <c r="D21" s="21" t="inlineStr">
        <is>
          <t>Reviews program moves to this budget.</t>
        </is>
      </c>
      <c r="E21" s="22" t="n"/>
      <c r="F21" s="22" t="n"/>
    </row>
    <row r="22">
      <c r="B22" s="19" t="inlineStr">
        <is>
          <t>Incremental program spend</t>
        </is>
      </c>
      <c r="C22" s="20" t="n">
        <v>60000</v>
      </c>
      <c r="D22" s="21" t="inlineStr">
        <is>
          <t>Approved separately for growth markets.</t>
        </is>
      </c>
      <c r="E22" s="22" t="n"/>
      <c r="F22" s="22" t="n"/>
    </row>
    <row r="23">
      <c r="B23" s="19" t="n"/>
      <c r="C23" s="20" t="n"/>
      <c r="D23" s="21" t="n"/>
      <c r="E23" s="22" t="n"/>
      <c r="F23" s="22" t="n"/>
    </row>
    <row r="24">
      <c r="B24" s="15" t="inlineStr">
        <is>
          <t>Plan total with adjustments</t>
        </is>
      </c>
      <c r="C24" s="16">
        <f>D17+SUM(C21:C23)</f>
        <v/>
      </c>
      <c r="D24" s="23" t="n"/>
      <c r="E24" s="23" t="n"/>
      <c r="F24" s="23" t="n"/>
    </row>
    <row r="26">
      <c r="B26" s="3" t="inlineStr">
        <is>
          <t>Net-new headcount</t>
        </is>
      </c>
    </row>
    <row r="27" ht="22" customHeight="1">
      <c r="B27" s="10" t="inlineStr">
        <is>
          <t>Role</t>
        </is>
      </c>
      <c r="C27" s="10" t="inlineStr">
        <is>
          <t>Function</t>
        </is>
      </c>
      <c r="D27" s="10" t="inlineStr">
        <is>
          <t>Start date</t>
        </is>
      </c>
      <c r="E27" s="10" t="inlineStr">
        <is>
          <t>Annual cost</t>
        </is>
      </c>
      <c r="F27" s="10" t="inlineStr">
        <is>
          <t>Status</t>
        </is>
      </c>
    </row>
    <row r="28">
      <c r="B28" s="19" t="inlineStr">
        <is>
          <t>Graphic designer</t>
        </is>
      </c>
      <c r="C28" s="19" t="inlineStr">
        <is>
          <t>Creative</t>
        </is>
      </c>
      <c r="D28" s="24" t="n">
        <v>46391</v>
      </c>
      <c r="E28" s="20" t="n">
        <v>95000</v>
      </c>
      <c r="F28" s="19" t="inlineStr">
        <is>
          <t>Approved</t>
        </is>
      </c>
    </row>
    <row r="29">
      <c r="B29" s="19" t="inlineStr">
        <is>
          <t>Events coordinator</t>
        </is>
      </c>
      <c r="C29" s="19" t="inlineStr">
        <is>
          <t>Events</t>
        </is>
      </c>
      <c r="D29" s="24" t="n">
        <v>46478</v>
      </c>
      <c r="E29" s="20" t="n">
        <v>82000</v>
      </c>
      <c r="F29" s="19" t="inlineStr">
        <is>
          <t>Requested</t>
        </is>
      </c>
    </row>
    <row r="30">
      <c r="B30" s="19" t="n"/>
      <c r="C30" s="19" t="n"/>
      <c r="D30" s="24" t="n"/>
      <c r="E30" s="20" t="n"/>
      <c r="F30" s="19" t="n"/>
    </row>
    <row r="31">
      <c r="B31" s="15" t="inlineStr">
        <is>
          <t>Headcount total</t>
        </is>
      </c>
      <c r="C31" s="23">
        <f>COUNTA(B28:B30)&amp;" roles"</f>
        <v/>
      </c>
      <c r="D31" s="23" t="n"/>
      <c r="E31" s="16">
        <f>SUM(E28:E30)</f>
        <v/>
      </c>
      <c r="F31" s="23" t="n"/>
    </row>
    <row r="34">
      <c r="B34" s="9" t="inlineStr">
        <is>
          <t>Chart title</t>
        </is>
      </c>
    </row>
    <row r="35">
      <c r="B35" s="25" t="inlineStr">
        <is>
          <t>Budget by function</t>
        </is>
      </c>
      <c r="C35" s="22" t="n"/>
      <c r="D35" s="22" t="n"/>
      <c r="E35" s="22" t="n"/>
      <c r="F35" s="22" t="n"/>
    </row>
  </sheetData>
  <mergeCells count="5">
    <mergeCell ref="D23:F23"/>
    <mergeCell ref="D22:F22"/>
    <mergeCell ref="D21:F21"/>
    <mergeCell ref="D20:F20"/>
    <mergeCell ref="B35:F35"/>
  </mergeCells>
  <dataValidations count="2">
    <dataValidation sqref="C28:C30" showDropDown="0" showInputMessage="0" showErrorMessage="0" allowBlank="1" error="That isn't on the list. Keep it anyway?" type="list" errorStyle="information">
      <formula1>=$B$10:$B$16</formula1>
    </dataValidation>
    <dataValidation sqref="F28:F30" showDropDown="0" showInputMessage="0" showErrorMessage="0" allowBlank="1" type="list">
      <formula1>"Requested,Approved,Hired,On hold"</formula1>
    </dataValidation>
  </dataValidations>
  <printOptions horizontalCentered="1"/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0094FF"/>
    <outlinePr summaryBelow="1" summaryRight="1"/>
    <pageSetUpPr fitToPage="1"/>
  </sheetPr>
  <dimension ref="A1:S39"/>
  <sheetViews>
    <sheetView showGridLines="0" zoomScale="10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8"/>
  <cols>
    <col width="2.5" customWidth="1" min="1" max="1"/>
    <col width="22" customWidth="1" min="2" max="2"/>
    <col width="32" customWidth="1" min="3" max="3"/>
    <col width="24" customWidth="1" min="4" max="4"/>
    <col width="14" customWidth="1" min="5" max="5"/>
    <col width="14" customWidth="1" min="6" max="6"/>
    <col width="14" customWidth="1" min="7" max="7"/>
    <col width="13" customWidth="1" min="8" max="8"/>
    <col width="12" customWidth="1" min="9" max="9"/>
    <col width="46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 ht="48" customHeight="1">
      <c r="A1" s="1" t="n"/>
      <c r="B1" s="2" t="inlineStr">
        <is>
          <t>Digital Marketing · budget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6" customHeight="1"/>
    <row r="4">
      <c r="B4" s="4" t="inlineStr">
        <is>
          <t>Every line item for this function. Blue text on white is yours to fill in. Light-blue cells calculate; leave them as they are.</t>
        </is>
      </c>
    </row>
    <row r="6">
      <c r="B6" s="9" t="inlineStr">
        <is>
          <t>All values in USD. Years follow the plan year on the Summary tab.</t>
        </is>
      </c>
    </row>
    <row r="8" ht="34" customHeight="1">
      <c r="B8" s="10" t="inlineStr">
        <is>
          <t>Category</t>
        </is>
      </c>
      <c r="C8" s="10" t="inlineStr">
        <is>
          <t>Activity</t>
        </is>
      </c>
      <c r="D8" s="10" t="inlineStr">
        <is>
          <t>Vendor or partner</t>
        </is>
      </c>
      <c r="E8" s="10">
        <f>Summary!$C$6-1&amp;" budget"</f>
        <v/>
      </c>
      <c r="F8" s="10">
        <f>Summary!$C$6-1&amp;" actual"</f>
        <v/>
      </c>
      <c r="G8" s="10">
        <f>Summary!$C$6&amp;" budget"</f>
        <v/>
      </c>
      <c r="H8" s="10" t="inlineStr">
        <is>
          <t>Variance $</t>
        </is>
      </c>
      <c r="I8" s="10" t="inlineStr">
        <is>
          <t>Variance %</t>
        </is>
      </c>
      <c r="J8" s="10" t="inlineStr">
        <is>
          <t>Notes and assumptions</t>
        </is>
      </c>
    </row>
    <row r="9">
      <c r="B9" s="19" t="inlineStr">
        <is>
          <t>Agency &amp; services</t>
        </is>
      </c>
      <c r="C9" s="21" t="inlineStr">
        <is>
          <t>Web and digital agency retainer</t>
        </is>
      </c>
      <c r="D9" s="19" t="inlineStr">
        <is>
          <t>Digital agency</t>
        </is>
      </c>
      <c r="E9" s="20" t="n">
        <v>180000</v>
      </c>
      <c r="F9" s="20" t="n">
        <v>176400</v>
      </c>
      <c r="G9" s="20" t="n">
        <v>192000</v>
      </c>
      <c r="H9" s="13">
        <f>IF(AND(E9="",G9=""),"",N(G9)-N(E9))</f>
        <v/>
      </c>
      <c r="I9" s="14">
        <f>IF(OR(N(E9)=0,G9=""),"",H9/E9)</f>
        <v/>
      </c>
      <c r="J9" s="21" t="inlineStr">
        <is>
          <t>Adds 10 retainer hours a month at the current rate.</t>
        </is>
      </c>
    </row>
    <row r="10">
      <c r="B10" s="19" t="inlineStr">
        <is>
          <t>Paid media</t>
        </is>
      </c>
      <c r="C10" s="21" t="inlineStr">
        <is>
          <t>Search ads</t>
        </is>
      </c>
      <c r="D10" s="19" t="inlineStr">
        <is>
          <t>Search ads platform</t>
        </is>
      </c>
      <c r="E10" s="20" t="n">
        <v>216000</v>
      </c>
      <c r="F10" s="20" t="n">
        <v>223500</v>
      </c>
      <c r="G10" s="20" t="n">
        <v>240000</v>
      </c>
      <c r="H10" s="13">
        <f>IF(AND(E10="",G10=""),"",N(G10)-N(E10))</f>
        <v/>
      </c>
      <c r="I10" s="14">
        <f>IF(OR(N(E10)=0,G10=""),"",H10/E10)</f>
        <v/>
      </c>
      <c r="J10" s="21" t="inlineStr">
        <is>
          <t>Raises monthly spend to defend branded search terms.</t>
        </is>
      </c>
    </row>
    <row r="11">
      <c r="B11" s="19" t="inlineStr">
        <is>
          <t>Paid media</t>
        </is>
      </c>
      <c r="C11" s="21" t="inlineStr">
        <is>
          <t>Social ads</t>
        </is>
      </c>
      <c r="D11" s="19" t="inlineStr">
        <is>
          <t>Professional network ads</t>
        </is>
      </c>
      <c r="E11" s="20" t="n">
        <v>150000</v>
      </c>
      <c r="F11" s="20" t="n">
        <v>141200</v>
      </c>
      <c r="G11" s="20" t="n">
        <v>150000</v>
      </c>
      <c r="H11" s="13">
        <f>IF(AND(E11="",G11=""),"",N(G11)-N(E11))</f>
        <v/>
      </c>
      <c r="I11" s="14">
        <f>IF(OR(N(E11)=0,G11=""),"",H11/E11)</f>
        <v/>
      </c>
      <c r="J11" s="21" t="n"/>
    </row>
    <row r="12">
      <c r="B12" s="19" t="inlineStr">
        <is>
          <t>Paid media</t>
        </is>
      </c>
      <c r="C12" s="21" t="inlineStr">
        <is>
          <t>Display and retargeting</t>
        </is>
      </c>
      <c r="D12" s="19" t="inlineStr">
        <is>
          <t>Programmatic partner</t>
        </is>
      </c>
      <c r="E12" s="20" t="n">
        <v>60000</v>
      </c>
      <c r="F12" s="20" t="n">
        <v>58300</v>
      </c>
      <c r="G12" s="20" t="n">
        <v>54000</v>
      </c>
      <c r="H12" s="13">
        <f>IF(AND(E12="",G12=""),"",N(G12)-N(E12))</f>
        <v/>
      </c>
      <c r="I12" s="14">
        <f>IF(OR(N(E12)=0,G12=""),"",H12/E12)</f>
        <v/>
      </c>
      <c r="J12" s="21" t="inlineStr">
        <is>
          <t>Moves part of this into search.</t>
        </is>
      </c>
    </row>
    <row r="13">
      <c r="B13" s="19" t="n"/>
      <c r="C13" s="21" t="n"/>
      <c r="D13" s="19" t="n"/>
      <c r="E13" s="20" t="n"/>
      <c r="F13" s="20" t="n"/>
      <c r="G13" s="20" t="n"/>
      <c r="H13" s="13">
        <f>IF(AND(E13="",G13=""),"",N(G13)-N(E13))</f>
        <v/>
      </c>
      <c r="I13" s="14">
        <f>IF(OR(N(E13)=0,G13=""),"",H13/E13)</f>
        <v/>
      </c>
      <c r="J13" s="21" t="n"/>
    </row>
    <row r="14">
      <c r="B14" s="19" t="n"/>
      <c r="C14" s="21" t="n"/>
      <c r="D14" s="19" t="n"/>
      <c r="E14" s="20" t="n"/>
      <c r="F14" s="20" t="n"/>
      <c r="G14" s="20" t="n"/>
      <c r="H14" s="13">
        <f>IF(AND(E14="",G14=""),"",N(G14)-N(E14))</f>
        <v/>
      </c>
      <c r="I14" s="14">
        <f>IF(OR(N(E14)=0,G14=""),"",H14/E14)</f>
        <v/>
      </c>
      <c r="J14" s="21" t="n"/>
    </row>
    <row r="15">
      <c r="B15" s="19" t="n"/>
      <c r="C15" s="21" t="n"/>
      <c r="D15" s="19" t="n"/>
      <c r="E15" s="20" t="n"/>
      <c r="F15" s="20" t="n"/>
      <c r="G15" s="20" t="n"/>
      <c r="H15" s="13">
        <f>IF(AND(E15="",G15=""),"",N(G15)-N(E15))</f>
        <v/>
      </c>
      <c r="I15" s="14">
        <f>IF(OR(N(E15)=0,G15=""),"",H15/E15)</f>
        <v/>
      </c>
      <c r="J15" s="21" t="n"/>
    </row>
    <row r="16">
      <c r="B16" s="19" t="n"/>
      <c r="C16" s="21" t="n"/>
      <c r="D16" s="19" t="n"/>
      <c r="E16" s="20" t="n"/>
      <c r="F16" s="20" t="n"/>
      <c r="G16" s="20" t="n"/>
      <c r="H16" s="13">
        <f>IF(AND(E16="",G16=""),"",N(G16)-N(E16))</f>
        <v/>
      </c>
      <c r="I16" s="14">
        <f>IF(OR(N(E16)=0,G16=""),"",H16/E16)</f>
        <v/>
      </c>
      <c r="J16" s="21" t="n"/>
    </row>
    <row r="17">
      <c r="B17" s="19" t="n"/>
      <c r="C17" s="21" t="n"/>
      <c r="D17" s="19" t="n"/>
      <c r="E17" s="20" t="n"/>
      <c r="F17" s="20" t="n"/>
      <c r="G17" s="20" t="n"/>
      <c r="H17" s="13">
        <f>IF(AND(E17="",G17=""),"",N(G17)-N(E17))</f>
        <v/>
      </c>
      <c r="I17" s="14">
        <f>IF(OR(N(E17)=0,G17=""),"",H17/E17)</f>
        <v/>
      </c>
      <c r="J17" s="21" t="n"/>
    </row>
    <row r="18">
      <c r="B18" s="19" t="n"/>
      <c r="C18" s="21" t="n"/>
      <c r="D18" s="19" t="n"/>
      <c r="E18" s="20" t="n"/>
      <c r="F18" s="20" t="n"/>
      <c r="G18" s="20" t="n"/>
      <c r="H18" s="13">
        <f>IF(AND(E18="",G18=""),"",N(G18)-N(E18))</f>
        <v/>
      </c>
      <c r="I18" s="14">
        <f>IF(OR(N(E18)=0,G18=""),"",H18/E18)</f>
        <v/>
      </c>
      <c r="J18" s="21" t="n"/>
    </row>
    <row r="19">
      <c r="B19" s="19" t="n"/>
      <c r="C19" s="21" t="n"/>
      <c r="D19" s="19" t="n"/>
      <c r="E19" s="20" t="n"/>
      <c r="F19" s="20" t="n"/>
      <c r="G19" s="20" t="n"/>
      <c r="H19" s="13">
        <f>IF(AND(E19="",G19=""),"",N(G19)-N(E19))</f>
        <v/>
      </c>
      <c r="I19" s="14">
        <f>IF(OR(N(E19)=0,G19=""),"",H19/E19)</f>
        <v/>
      </c>
      <c r="J19" s="21" t="n"/>
    </row>
    <row r="20">
      <c r="B20" s="19" t="n"/>
      <c r="C20" s="21" t="n"/>
      <c r="D20" s="19" t="n"/>
      <c r="E20" s="20" t="n"/>
      <c r="F20" s="20" t="n"/>
      <c r="G20" s="20" t="n"/>
      <c r="H20" s="13">
        <f>IF(AND(E20="",G20=""),"",N(G20)-N(E20))</f>
        <v/>
      </c>
      <c r="I20" s="14">
        <f>IF(OR(N(E20)=0,G20=""),"",H20/E20)</f>
        <v/>
      </c>
      <c r="J20" s="21" t="n"/>
    </row>
    <row r="21">
      <c r="B21" s="19" t="n"/>
      <c r="C21" s="21" t="n"/>
      <c r="D21" s="19" t="n"/>
      <c r="E21" s="20" t="n"/>
      <c r="F21" s="20" t="n"/>
      <c r="G21" s="20" t="n"/>
      <c r="H21" s="13">
        <f>IF(AND(E21="",G21=""),"",N(G21)-N(E21))</f>
        <v/>
      </c>
      <c r="I21" s="14">
        <f>IF(OR(N(E21)=0,G21=""),"",H21/E21)</f>
        <v/>
      </c>
      <c r="J21" s="21" t="n"/>
    </row>
    <row r="22">
      <c r="B22" s="19" t="n"/>
      <c r="C22" s="21" t="n"/>
      <c r="D22" s="19" t="n"/>
      <c r="E22" s="20" t="n"/>
      <c r="F22" s="20" t="n"/>
      <c r="G22" s="20" t="n"/>
      <c r="H22" s="13">
        <f>IF(AND(E22="",G22=""),"",N(G22)-N(E22))</f>
        <v/>
      </c>
      <c r="I22" s="14">
        <f>IF(OR(N(E22)=0,G22=""),"",H22/E22)</f>
        <v/>
      </c>
      <c r="J22" s="21" t="n"/>
    </row>
    <row r="23">
      <c r="B23" s="19" t="n"/>
      <c r="C23" s="21" t="n"/>
      <c r="D23" s="19" t="n"/>
      <c r="E23" s="20" t="n"/>
      <c r="F23" s="20" t="n"/>
      <c r="G23" s="20" t="n"/>
      <c r="H23" s="13">
        <f>IF(AND(E23="",G23=""),"",N(G23)-N(E23))</f>
        <v/>
      </c>
      <c r="I23" s="14">
        <f>IF(OR(N(E23)=0,G23=""),"",H23/E23)</f>
        <v/>
      </c>
      <c r="J23" s="21" t="n"/>
    </row>
    <row r="24">
      <c r="B24" s="19" t="n"/>
      <c r="C24" s="21" t="n"/>
      <c r="D24" s="19" t="n"/>
      <c r="E24" s="20" t="n"/>
      <c r="F24" s="20" t="n"/>
      <c r="G24" s="20" t="n"/>
      <c r="H24" s="13">
        <f>IF(AND(E24="",G24=""),"",N(G24)-N(E24))</f>
        <v/>
      </c>
      <c r="I24" s="14">
        <f>IF(OR(N(E24)=0,G24=""),"",H24/E24)</f>
        <v/>
      </c>
      <c r="J24" s="21" t="n"/>
    </row>
    <row r="25">
      <c r="B25" s="19" t="n"/>
      <c r="C25" s="21" t="n"/>
      <c r="D25" s="19" t="n"/>
      <c r="E25" s="20" t="n"/>
      <c r="F25" s="20" t="n"/>
      <c r="G25" s="20" t="n"/>
      <c r="H25" s="13">
        <f>IF(AND(E25="",G25=""),"",N(G25)-N(E25))</f>
        <v/>
      </c>
      <c r="I25" s="14">
        <f>IF(OR(N(E25)=0,G25=""),"",H25/E25)</f>
        <v/>
      </c>
      <c r="J25" s="21" t="n"/>
    </row>
    <row r="26">
      <c r="B26" s="19" t="n"/>
      <c r="C26" s="21" t="n"/>
      <c r="D26" s="19" t="n"/>
      <c r="E26" s="20" t="n"/>
      <c r="F26" s="20" t="n"/>
      <c r="G26" s="20" t="n"/>
      <c r="H26" s="13">
        <f>IF(AND(E26="",G26=""),"",N(G26)-N(E26))</f>
        <v/>
      </c>
      <c r="I26" s="14">
        <f>IF(OR(N(E26)=0,G26=""),"",H26/E26)</f>
        <v/>
      </c>
      <c r="J26" s="21" t="n"/>
    </row>
    <row r="27">
      <c r="B27" s="19" t="n"/>
      <c r="C27" s="21" t="n"/>
      <c r="D27" s="19" t="n"/>
      <c r="E27" s="20" t="n"/>
      <c r="F27" s="20" t="n"/>
      <c r="G27" s="20" t="n"/>
      <c r="H27" s="13">
        <f>IF(AND(E27="",G27=""),"",N(G27)-N(E27))</f>
        <v/>
      </c>
      <c r="I27" s="14">
        <f>IF(OR(N(E27)=0,G27=""),"",H27/E27)</f>
        <v/>
      </c>
      <c r="J27" s="21" t="n"/>
    </row>
    <row r="28">
      <c r="B28" s="19" t="n"/>
      <c r="C28" s="21" t="n"/>
      <c r="D28" s="19" t="n"/>
      <c r="E28" s="20" t="n"/>
      <c r="F28" s="20" t="n"/>
      <c r="G28" s="20" t="n"/>
      <c r="H28" s="13">
        <f>IF(AND(E28="",G28=""),"",N(G28)-N(E28))</f>
        <v/>
      </c>
      <c r="I28" s="14">
        <f>IF(OR(N(E28)=0,G28=""),"",H28/E28)</f>
        <v/>
      </c>
      <c r="J28" s="21" t="n"/>
    </row>
    <row r="29">
      <c r="B29" s="19" t="n"/>
      <c r="C29" s="21" t="n"/>
      <c r="D29" s="19" t="n"/>
      <c r="E29" s="20" t="n"/>
      <c r="F29" s="20" t="n"/>
      <c r="G29" s="20" t="n"/>
      <c r="H29" s="13">
        <f>IF(AND(E29="",G29=""),"",N(G29)-N(E29))</f>
        <v/>
      </c>
      <c r="I29" s="14">
        <f>IF(OR(N(E29)=0,G29=""),"",H29/E29)</f>
        <v/>
      </c>
      <c r="J29" s="21" t="n"/>
    </row>
    <row r="30">
      <c r="B30" s="19" t="n"/>
      <c r="C30" s="21" t="n"/>
      <c r="D30" s="19" t="n"/>
      <c r="E30" s="20" t="n"/>
      <c r="F30" s="20" t="n"/>
      <c r="G30" s="20" t="n"/>
      <c r="H30" s="13">
        <f>IF(AND(E30="",G30=""),"",N(G30)-N(E30))</f>
        <v/>
      </c>
      <c r="I30" s="14">
        <f>IF(OR(N(E30)=0,G30=""),"",H30/E30)</f>
        <v/>
      </c>
      <c r="J30" s="21" t="n"/>
    </row>
    <row r="31">
      <c r="B31" s="19" t="n"/>
      <c r="C31" s="21" t="n"/>
      <c r="D31" s="19" t="n"/>
      <c r="E31" s="20" t="n"/>
      <c r="F31" s="20" t="n"/>
      <c r="G31" s="20" t="n"/>
      <c r="H31" s="13">
        <f>IF(AND(E31="",G31=""),"",N(G31)-N(E31))</f>
        <v/>
      </c>
      <c r="I31" s="14">
        <f>IF(OR(N(E31)=0,G31=""),"",H31/E31)</f>
        <v/>
      </c>
      <c r="J31" s="21" t="n"/>
    </row>
    <row r="32">
      <c r="B32" s="19" t="n"/>
      <c r="C32" s="21" t="n"/>
      <c r="D32" s="19" t="n"/>
      <c r="E32" s="20" t="n"/>
      <c r="F32" s="20" t="n"/>
      <c r="G32" s="20" t="n"/>
      <c r="H32" s="13">
        <f>IF(AND(E32="",G32=""),"",N(G32)-N(E32))</f>
        <v/>
      </c>
      <c r="I32" s="14">
        <f>IF(OR(N(E32)=0,G32=""),"",H32/E32)</f>
        <v/>
      </c>
      <c r="J32" s="21" t="n"/>
    </row>
    <row r="33">
      <c r="B33" s="19" t="n"/>
      <c r="C33" s="21" t="n"/>
      <c r="D33" s="19" t="n"/>
      <c r="E33" s="20" t="n"/>
      <c r="F33" s="20" t="n"/>
      <c r="G33" s="20" t="n"/>
      <c r="H33" s="13">
        <f>IF(AND(E33="",G33=""),"",N(G33)-N(E33))</f>
        <v/>
      </c>
      <c r="I33" s="14">
        <f>IF(OR(N(E33)=0,G33=""),"",H33/E33)</f>
        <v/>
      </c>
      <c r="J33" s="21" t="n"/>
    </row>
    <row r="34">
      <c r="B34" s="19" t="n"/>
      <c r="C34" s="21" t="n"/>
      <c r="D34" s="19" t="n"/>
      <c r="E34" s="20" t="n"/>
      <c r="F34" s="20" t="n"/>
      <c r="G34" s="20" t="n"/>
      <c r="H34" s="13">
        <f>IF(AND(E34="",G34=""),"",N(G34)-N(E34))</f>
        <v/>
      </c>
      <c r="I34" s="14">
        <f>IF(OR(N(E34)=0,G34=""),"",H34/E34)</f>
        <v/>
      </c>
      <c r="J34" s="21" t="n"/>
    </row>
    <row r="35">
      <c r="B35" s="19" t="n"/>
      <c r="C35" s="21" t="n"/>
      <c r="D35" s="19" t="n"/>
      <c r="E35" s="20" t="n"/>
      <c r="F35" s="20" t="n"/>
      <c r="G35" s="20" t="n"/>
      <c r="H35" s="13">
        <f>IF(AND(E35="",G35=""),"",N(G35)-N(E35))</f>
        <v/>
      </c>
      <c r="I35" s="14">
        <f>IF(OR(N(E35)=0,G35=""),"",H35/E35)</f>
        <v/>
      </c>
      <c r="J35" s="21" t="n"/>
    </row>
    <row r="36">
      <c r="B36" s="19" t="n"/>
      <c r="C36" s="21" t="n"/>
      <c r="D36" s="19" t="n"/>
      <c r="E36" s="20" t="n"/>
      <c r="F36" s="20" t="n"/>
      <c r="G36" s="20" t="n"/>
      <c r="H36" s="13">
        <f>IF(AND(E36="",G36=""),"",N(G36)-N(E36))</f>
        <v/>
      </c>
      <c r="I36" s="14">
        <f>IF(OR(N(E36)=0,G36=""),"",H36/E36)</f>
        <v/>
      </c>
      <c r="J36" s="21" t="n"/>
    </row>
    <row r="37">
      <c r="B37" s="19" t="n"/>
      <c r="C37" s="21" t="n"/>
      <c r="D37" s="19" t="n"/>
      <c r="E37" s="20" t="n"/>
      <c r="F37" s="20" t="n"/>
      <c r="G37" s="20" t="n"/>
      <c r="H37" s="13">
        <f>IF(AND(E37="",G37=""),"",N(G37)-N(E37))</f>
        <v/>
      </c>
      <c r="I37" s="14">
        <f>IF(OR(N(E37)=0,G37=""),"",H37/E37)</f>
        <v/>
      </c>
      <c r="J37" s="21" t="n"/>
    </row>
    <row r="38">
      <c r="B38" s="19" t="n"/>
      <c r="C38" s="21" t="n"/>
      <c r="D38" s="19" t="n"/>
      <c r="E38" s="20" t="n"/>
      <c r="F38" s="20" t="n"/>
      <c r="G38" s="20" t="n"/>
      <c r="H38" s="13">
        <f>IF(AND(E38="",G38=""),"",N(G38)-N(E38))</f>
        <v/>
      </c>
      <c r="I38" s="14">
        <f>IF(OR(N(E38)=0,G38=""),"",H38/E38)</f>
        <v/>
      </c>
      <c r="J38" s="21" t="n"/>
    </row>
    <row r="39">
      <c r="B39" s="15" t="inlineStr">
        <is>
          <t>Digital Marketing total</t>
        </is>
      </c>
      <c r="C39" s="23" t="n"/>
      <c r="D39" s="23" t="n"/>
      <c r="E39" s="16">
        <f>SUM(E9:E38)</f>
        <v/>
      </c>
      <c r="F39" s="16">
        <f>SUM(F9:F38)</f>
        <v/>
      </c>
      <c r="G39" s="16">
        <f>SUM(G9:G38)</f>
        <v/>
      </c>
      <c r="H39" s="17">
        <f>G39-E39</f>
        <v/>
      </c>
      <c r="I39" s="18">
        <f>IF(E39=0,"",H39/E39)</f>
        <v/>
      </c>
      <c r="J39" s="23" t="n"/>
    </row>
  </sheetData>
  <autoFilter ref="B8:J38"/>
  <dataValidations count="1">
    <dataValidation sqref="B9:B38" showDropDown="0" showInputMessage="0" showErrorMessage="0" allowBlank="1" error="That isn't on the list. Keep it anyway?" type="list" errorStyle="information">
      <formula1>=Lists!$B$7:$B$16</formula1>
    </dataValidation>
  </dataValidations>
  <printOptions horizontalCentered="1"/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0094FF"/>
    <outlinePr summaryBelow="1" summaryRight="1"/>
    <pageSetUpPr fitToPage="1"/>
  </sheetPr>
  <dimension ref="A1:S39"/>
  <sheetViews>
    <sheetView showGridLines="0" zoomScale="10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8"/>
  <cols>
    <col width="2.5" customWidth="1" min="1" max="1"/>
    <col width="22" customWidth="1" min="2" max="2"/>
    <col width="32" customWidth="1" min="3" max="3"/>
    <col width="24" customWidth="1" min="4" max="4"/>
    <col width="14" customWidth="1" min="5" max="5"/>
    <col width="14" customWidth="1" min="6" max="6"/>
    <col width="14" customWidth="1" min="7" max="7"/>
    <col width="13" customWidth="1" min="8" max="8"/>
    <col width="12" customWidth="1" min="9" max="9"/>
    <col width="46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 ht="48" customHeight="1">
      <c r="A1" s="1" t="n"/>
      <c r="B1" s="2" t="inlineStr">
        <is>
          <t>Creative · budget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6" customHeight="1"/>
    <row r="4">
      <c r="B4" s="4" t="inlineStr">
        <is>
          <t>Every line item for this function. Blue text on white is yours to fill in. Light-blue cells calculate; leave them as they are.</t>
        </is>
      </c>
    </row>
    <row r="6">
      <c r="B6" s="9" t="inlineStr">
        <is>
          <t>All values in USD. Years follow the plan year on the Summary tab.</t>
        </is>
      </c>
    </row>
    <row r="8" ht="34" customHeight="1">
      <c r="B8" s="10" t="inlineStr">
        <is>
          <t>Category</t>
        </is>
      </c>
      <c r="C8" s="10" t="inlineStr">
        <is>
          <t>Activity</t>
        </is>
      </c>
      <c r="D8" s="10" t="inlineStr">
        <is>
          <t>Vendor or partner</t>
        </is>
      </c>
      <c r="E8" s="10">
        <f>Summary!$C$6-1&amp;" budget"</f>
        <v/>
      </c>
      <c r="F8" s="10">
        <f>Summary!$C$6-1&amp;" actual"</f>
        <v/>
      </c>
      <c r="G8" s="10">
        <f>Summary!$C$6&amp;" budget"</f>
        <v/>
      </c>
      <c r="H8" s="10" t="inlineStr">
        <is>
          <t>Variance $</t>
        </is>
      </c>
      <c r="I8" s="10" t="inlineStr">
        <is>
          <t>Variance %</t>
        </is>
      </c>
      <c r="J8" s="10" t="inlineStr">
        <is>
          <t>Notes and assumptions</t>
        </is>
      </c>
    </row>
    <row r="9">
      <c r="B9" s="19" t="inlineStr">
        <is>
          <t>Agency &amp; services</t>
        </is>
      </c>
      <c r="C9" s="21" t="inlineStr">
        <is>
          <t>Design overflow support</t>
        </is>
      </c>
      <c r="D9" s="19" t="inlineStr">
        <is>
          <t>Freelance designers</t>
        </is>
      </c>
      <c r="E9" s="20" t="n">
        <v>90000</v>
      </c>
      <c r="F9" s="20" t="n">
        <v>84000</v>
      </c>
      <c r="G9" s="20" t="n">
        <v>96000</v>
      </c>
      <c r="H9" s="13">
        <f>IF(AND(E9="",G9=""),"",N(G9)-N(E9))</f>
        <v/>
      </c>
      <c r="I9" s="14">
        <f>IF(OR(N(E9)=0,G9=""),"",H9/E9)</f>
        <v/>
      </c>
      <c r="J9" s="21" t="n"/>
    </row>
    <row r="10">
      <c r="B10" s="19" t="inlineStr">
        <is>
          <t>Content production</t>
        </is>
      </c>
      <c r="C10" s="21" t="inlineStr">
        <is>
          <t>Photography and stock</t>
        </is>
      </c>
      <c r="D10" s="19" t="inlineStr">
        <is>
          <t>Stock library</t>
        </is>
      </c>
      <c r="E10" s="20" t="n">
        <v>24000</v>
      </c>
      <c r="F10" s="20" t="n">
        <v>24000</v>
      </c>
      <c r="G10" s="20" t="n">
        <v>26000</v>
      </c>
      <c r="H10" s="13">
        <f>IF(AND(E10="",G10=""),"",N(G10)-N(E10))</f>
        <v/>
      </c>
      <c r="I10" s="14">
        <f>IF(OR(N(E10)=0,G10=""),"",H10/E10)</f>
        <v/>
      </c>
      <c r="J10" s="21" t="inlineStr">
        <is>
          <t>Annual licence.</t>
        </is>
      </c>
    </row>
    <row r="11">
      <c r="B11" s="19" t="inlineStr">
        <is>
          <t>Content production</t>
        </is>
      </c>
      <c r="C11" s="21" t="inlineStr">
        <is>
          <t>Motion and animation</t>
        </is>
      </c>
      <c r="D11" s="19" t="inlineStr">
        <is>
          <t>Motion studio</t>
        </is>
      </c>
      <c r="E11" s="20" t="n">
        <v>40000</v>
      </c>
      <c r="F11" s="20" t="n">
        <v>36500</v>
      </c>
      <c r="G11" s="20" t="n">
        <v>45000</v>
      </c>
      <c r="H11" s="13">
        <f>IF(AND(E11="",G11=""),"",N(G11)-N(E11))</f>
        <v/>
      </c>
      <c r="I11" s="14">
        <f>IF(OR(N(E11)=0,G11=""),"",H11/E11)</f>
        <v/>
      </c>
      <c r="J11" s="21" t="inlineStr">
        <is>
          <t>Two product launch films.</t>
        </is>
      </c>
    </row>
    <row r="12">
      <c r="B12" s="19" t="n"/>
      <c r="C12" s="21" t="n"/>
      <c r="D12" s="19" t="n"/>
      <c r="E12" s="20" t="n"/>
      <c r="F12" s="20" t="n"/>
      <c r="G12" s="20" t="n"/>
      <c r="H12" s="13">
        <f>IF(AND(E12="",G12=""),"",N(G12)-N(E12))</f>
        <v/>
      </c>
      <c r="I12" s="14">
        <f>IF(OR(N(E12)=0,G12=""),"",H12/E12)</f>
        <v/>
      </c>
      <c r="J12" s="21" t="n"/>
    </row>
    <row r="13">
      <c r="B13" s="19" t="n"/>
      <c r="C13" s="21" t="n"/>
      <c r="D13" s="19" t="n"/>
      <c r="E13" s="20" t="n"/>
      <c r="F13" s="20" t="n"/>
      <c r="G13" s="20" t="n"/>
      <c r="H13" s="13">
        <f>IF(AND(E13="",G13=""),"",N(G13)-N(E13))</f>
        <v/>
      </c>
      <c r="I13" s="14">
        <f>IF(OR(N(E13)=0,G13=""),"",H13/E13)</f>
        <v/>
      </c>
      <c r="J13" s="21" t="n"/>
    </row>
    <row r="14">
      <c r="B14" s="19" t="n"/>
      <c r="C14" s="21" t="n"/>
      <c r="D14" s="19" t="n"/>
      <c r="E14" s="20" t="n"/>
      <c r="F14" s="20" t="n"/>
      <c r="G14" s="20" t="n"/>
      <c r="H14" s="13">
        <f>IF(AND(E14="",G14=""),"",N(G14)-N(E14))</f>
        <v/>
      </c>
      <c r="I14" s="14">
        <f>IF(OR(N(E14)=0,G14=""),"",H14/E14)</f>
        <v/>
      </c>
      <c r="J14" s="21" t="n"/>
    </row>
    <row r="15">
      <c r="B15" s="19" t="n"/>
      <c r="C15" s="21" t="n"/>
      <c r="D15" s="19" t="n"/>
      <c r="E15" s="20" t="n"/>
      <c r="F15" s="20" t="n"/>
      <c r="G15" s="20" t="n"/>
      <c r="H15" s="13">
        <f>IF(AND(E15="",G15=""),"",N(G15)-N(E15))</f>
        <v/>
      </c>
      <c r="I15" s="14">
        <f>IF(OR(N(E15)=0,G15=""),"",H15/E15)</f>
        <v/>
      </c>
      <c r="J15" s="21" t="n"/>
    </row>
    <row r="16">
      <c r="B16" s="19" t="n"/>
      <c r="C16" s="21" t="n"/>
      <c r="D16" s="19" t="n"/>
      <c r="E16" s="20" t="n"/>
      <c r="F16" s="20" t="n"/>
      <c r="G16" s="20" t="n"/>
      <c r="H16" s="13">
        <f>IF(AND(E16="",G16=""),"",N(G16)-N(E16))</f>
        <v/>
      </c>
      <c r="I16" s="14">
        <f>IF(OR(N(E16)=0,G16=""),"",H16/E16)</f>
        <v/>
      </c>
      <c r="J16" s="21" t="n"/>
    </row>
    <row r="17">
      <c r="B17" s="19" t="n"/>
      <c r="C17" s="21" t="n"/>
      <c r="D17" s="19" t="n"/>
      <c r="E17" s="20" t="n"/>
      <c r="F17" s="20" t="n"/>
      <c r="G17" s="20" t="n"/>
      <c r="H17" s="13">
        <f>IF(AND(E17="",G17=""),"",N(G17)-N(E17))</f>
        <v/>
      </c>
      <c r="I17" s="14">
        <f>IF(OR(N(E17)=0,G17=""),"",H17/E17)</f>
        <v/>
      </c>
      <c r="J17" s="21" t="n"/>
    </row>
    <row r="18">
      <c r="B18" s="19" t="n"/>
      <c r="C18" s="21" t="n"/>
      <c r="D18" s="19" t="n"/>
      <c r="E18" s="20" t="n"/>
      <c r="F18" s="20" t="n"/>
      <c r="G18" s="20" t="n"/>
      <c r="H18" s="13">
        <f>IF(AND(E18="",G18=""),"",N(G18)-N(E18))</f>
        <v/>
      </c>
      <c r="I18" s="14">
        <f>IF(OR(N(E18)=0,G18=""),"",H18/E18)</f>
        <v/>
      </c>
      <c r="J18" s="21" t="n"/>
    </row>
    <row r="19">
      <c r="B19" s="19" t="n"/>
      <c r="C19" s="21" t="n"/>
      <c r="D19" s="19" t="n"/>
      <c r="E19" s="20" t="n"/>
      <c r="F19" s="20" t="n"/>
      <c r="G19" s="20" t="n"/>
      <c r="H19" s="13">
        <f>IF(AND(E19="",G19=""),"",N(G19)-N(E19))</f>
        <v/>
      </c>
      <c r="I19" s="14">
        <f>IF(OR(N(E19)=0,G19=""),"",H19/E19)</f>
        <v/>
      </c>
      <c r="J19" s="21" t="n"/>
    </row>
    <row r="20">
      <c r="B20" s="19" t="n"/>
      <c r="C20" s="21" t="n"/>
      <c r="D20" s="19" t="n"/>
      <c r="E20" s="20" t="n"/>
      <c r="F20" s="20" t="n"/>
      <c r="G20" s="20" t="n"/>
      <c r="H20" s="13">
        <f>IF(AND(E20="",G20=""),"",N(G20)-N(E20))</f>
        <v/>
      </c>
      <c r="I20" s="14">
        <f>IF(OR(N(E20)=0,G20=""),"",H20/E20)</f>
        <v/>
      </c>
      <c r="J20" s="21" t="n"/>
    </row>
    <row r="21">
      <c r="B21" s="19" t="n"/>
      <c r="C21" s="21" t="n"/>
      <c r="D21" s="19" t="n"/>
      <c r="E21" s="20" t="n"/>
      <c r="F21" s="20" t="n"/>
      <c r="G21" s="20" t="n"/>
      <c r="H21" s="13">
        <f>IF(AND(E21="",G21=""),"",N(G21)-N(E21))</f>
        <v/>
      </c>
      <c r="I21" s="14">
        <f>IF(OR(N(E21)=0,G21=""),"",H21/E21)</f>
        <v/>
      </c>
      <c r="J21" s="21" t="n"/>
    </row>
    <row r="22">
      <c r="B22" s="19" t="n"/>
      <c r="C22" s="21" t="n"/>
      <c r="D22" s="19" t="n"/>
      <c r="E22" s="20" t="n"/>
      <c r="F22" s="20" t="n"/>
      <c r="G22" s="20" t="n"/>
      <c r="H22" s="13">
        <f>IF(AND(E22="",G22=""),"",N(G22)-N(E22))</f>
        <v/>
      </c>
      <c r="I22" s="14">
        <f>IF(OR(N(E22)=0,G22=""),"",H22/E22)</f>
        <v/>
      </c>
      <c r="J22" s="21" t="n"/>
    </row>
    <row r="23">
      <c r="B23" s="19" t="n"/>
      <c r="C23" s="21" t="n"/>
      <c r="D23" s="19" t="n"/>
      <c r="E23" s="20" t="n"/>
      <c r="F23" s="20" t="n"/>
      <c r="G23" s="20" t="n"/>
      <c r="H23" s="13">
        <f>IF(AND(E23="",G23=""),"",N(G23)-N(E23))</f>
        <v/>
      </c>
      <c r="I23" s="14">
        <f>IF(OR(N(E23)=0,G23=""),"",H23/E23)</f>
        <v/>
      </c>
      <c r="J23" s="21" t="n"/>
    </row>
    <row r="24">
      <c r="B24" s="19" t="n"/>
      <c r="C24" s="21" t="n"/>
      <c r="D24" s="19" t="n"/>
      <c r="E24" s="20" t="n"/>
      <c r="F24" s="20" t="n"/>
      <c r="G24" s="20" t="n"/>
      <c r="H24" s="13">
        <f>IF(AND(E24="",G24=""),"",N(G24)-N(E24))</f>
        <v/>
      </c>
      <c r="I24" s="14">
        <f>IF(OR(N(E24)=0,G24=""),"",H24/E24)</f>
        <v/>
      </c>
      <c r="J24" s="21" t="n"/>
    </row>
    <row r="25">
      <c r="B25" s="19" t="n"/>
      <c r="C25" s="21" t="n"/>
      <c r="D25" s="19" t="n"/>
      <c r="E25" s="20" t="n"/>
      <c r="F25" s="20" t="n"/>
      <c r="G25" s="20" t="n"/>
      <c r="H25" s="13">
        <f>IF(AND(E25="",G25=""),"",N(G25)-N(E25))</f>
        <v/>
      </c>
      <c r="I25" s="14">
        <f>IF(OR(N(E25)=0,G25=""),"",H25/E25)</f>
        <v/>
      </c>
      <c r="J25" s="21" t="n"/>
    </row>
    <row r="26">
      <c r="B26" s="19" t="n"/>
      <c r="C26" s="21" t="n"/>
      <c r="D26" s="19" t="n"/>
      <c r="E26" s="20" t="n"/>
      <c r="F26" s="20" t="n"/>
      <c r="G26" s="20" t="n"/>
      <c r="H26" s="13">
        <f>IF(AND(E26="",G26=""),"",N(G26)-N(E26))</f>
        <v/>
      </c>
      <c r="I26" s="14">
        <f>IF(OR(N(E26)=0,G26=""),"",H26/E26)</f>
        <v/>
      </c>
      <c r="J26" s="21" t="n"/>
    </row>
    <row r="27">
      <c r="B27" s="19" t="n"/>
      <c r="C27" s="21" t="n"/>
      <c r="D27" s="19" t="n"/>
      <c r="E27" s="20" t="n"/>
      <c r="F27" s="20" t="n"/>
      <c r="G27" s="20" t="n"/>
      <c r="H27" s="13">
        <f>IF(AND(E27="",G27=""),"",N(G27)-N(E27))</f>
        <v/>
      </c>
      <c r="I27" s="14">
        <f>IF(OR(N(E27)=0,G27=""),"",H27/E27)</f>
        <v/>
      </c>
      <c r="J27" s="21" t="n"/>
    </row>
    <row r="28">
      <c r="B28" s="19" t="n"/>
      <c r="C28" s="21" t="n"/>
      <c r="D28" s="19" t="n"/>
      <c r="E28" s="20" t="n"/>
      <c r="F28" s="20" t="n"/>
      <c r="G28" s="20" t="n"/>
      <c r="H28" s="13">
        <f>IF(AND(E28="",G28=""),"",N(G28)-N(E28))</f>
        <v/>
      </c>
      <c r="I28" s="14">
        <f>IF(OR(N(E28)=0,G28=""),"",H28/E28)</f>
        <v/>
      </c>
      <c r="J28" s="21" t="n"/>
    </row>
    <row r="29">
      <c r="B29" s="19" t="n"/>
      <c r="C29" s="21" t="n"/>
      <c r="D29" s="19" t="n"/>
      <c r="E29" s="20" t="n"/>
      <c r="F29" s="20" t="n"/>
      <c r="G29" s="20" t="n"/>
      <c r="H29" s="13">
        <f>IF(AND(E29="",G29=""),"",N(G29)-N(E29))</f>
        <v/>
      </c>
      <c r="I29" s="14">
        <f>IF(OR(N(E29)=0,G29=""),"",H29/E29)</f>
        <v/>
      </c>
      <c r="J29" s="21" t="n"/>
    </row>
    <row r="30">
      <c r="B30" s="19" t="n"/>
      <c r="C30" s="21" t="n"/>
      <c r="D30" s="19" t="n"/>
      <c r="E30" s="20" t="n"/>
      <c r="F30" s="20" t="n"/>
      <c r="G30" s="20" t="n"/>
      <c r="H30" s="13">
        <f>IF(AND(E30="",G30=""),"",N(G30)-N(E30))</f>
        <v/>
      </c>
      <c r="I30" s="14">
        <f>IF(OR(N(E30)=0,G30=""),"",H30/E30)</f>
        <v/>
      </c>
      <c r="J30" s="21" t="n"/>
    </row>
    <row r="31">
      <c r="B31" s="19" t="n"/>
      <c r="C31" s="21" t="n"/>
      <c r="D31" s="19" t="n"/>
      <c r="E31" s="20" t="n"/>
      <c r="F31" s="20" t="n"/>
      <c r="G31" s="20" t="n"/>
      <c r="H31" s="13">
        <f>IF(AND(E31="",G31=""),"",N(G31)-N(E31))</f>
        <v/>
      </c>
      <c r="I31" s="14">
        <f>IF(OR(N(E31)=0,G31=""),"",H31/E31)</f>
        <v/>
      </c>
      <c r="J31" s="21" t="n"/>
    </row>
    <row r="32">
      <c r="B32" s="19" t="n"/>
      <c r="C32" s="21" t="n"/>
      <c r="D32" s="19" t="n"/>
      <c r="E32" s="20" t="n"/>
      <c r="F32" s="20" t="n"/>
      <c r="G32" s="20" t="n"/>
      <c r="H32" s="13">
        <f>IF(AND(E32="",G32=""),"",N(G32)-N(E32))</f>
        <v/>
      </c>
      <c r="I32" s="14">
        <f>IF(OR(N(E32)=0,G32=""),"",H32/E32)</f>
        <v/>
      </c>
      <c r="J32" s="21" t="n"/>
    </row>
    <row r="33">
      <c r="B33" s="19" t="n"/>
      <c r="C33" s="21" t="n"/>
      <c r="D33" s="19" t="n"/>
      <c r="E33" s="20" t="n"/>
      <c r="F33" s="20" t="n"/>
      <c r="G33" s="20" t="n"/>
      <c r="H33" s="13">
        <f>IF(AND(E33="",G33=""),"",N(G33)-N(E33))</f>
        <v/>
      </c>
      <c r="I33" s="14">
        <f>IF(OR(N(E33)=0,G33=""),"",H33/E33)</f>
        <v/>
      </c>
      <c r="J33" s="21" t="n"/>
    </row>
    <row r="34">
      <c r="B34" s="19" t="n"/>
      <c r="C34" s="21" t="n"/>
      <c r="D34" s="19" t="n"/>
      <c r="E34" s="20" t="n"/>
      <c r="F34" s="20" t="n"/>
      <c r="G34" s="20" t="n"/>
      <c r="H34" s="13">
        <f>IF(AND(E34="",G34=""),"",N(G34)-N(E34))</f>
        <v/>
      </c>
      <c r="I34" s="14">
        <f>IF(OR(N(E34)=0,G34=""),"",H34/E34)</f>
        <v/>
      </c>
      <c r="J34" s="21" t="n"/>
    </row>
    <row r="35">
      <c r="B35" s="19" t="n"/>
      <c r="C35" s="21" t="n"/>
      <c r="D35" s="19" t="n"/>
      <c r="E35" s="20" t="n"/>
      <c r="F35" s="20" t="n"/>
      <c r="G35" s="20" t="n"/>
      <c r="H35" s="13">
        <f>IF(AND(E35="",G35=""),"",N(G35)-N(E35))</f>
        <v/>
      </c>
      <c r="I35" s="14">
        <f>IF(OR(N(E35)=0,G35=""),"",H35/E35)</f>
        <v/>
      </c>
      <c r="J35" s="21" t="n"/>
    </row>
    <row r="36">
      <c r="B36" s="19" t="n"/>
      <c r="C36" s="21" t="n"/>
      <c r="D36" s="19" t="n"/>
      <c r="E36" s="20" t="n"/>
      <c r="F36" s="20" t="n"/>
      <c r="G36" s="20" t="n"/>
      <c r="H36" s="13">
        <f>IF(AND(E36="",G36=""),"",N(G36)-N(E36))</f>
        <v/>
      </c>
      <c r="I36" s="14">
        <f>IF(OR(N(E36)=0,G36=""),"",H36/E36)</f>
        <v/>
      </c>
      <c r="J36" s="21" t="n"/>
    </row>
    <row r="37">
      <c r="B37" s="19" t="n"/>
      <c r="C37" s="21" t="n"/>
      <c r="D37" s="19" t="n"/>
      <c r="E37" s="20" t="n"/>
      <c r="F37" s="20" t="n"/>
      <c r="G37" s="20" t="n"/>
      <c r="H37" s="13">
        <f>IF(AND(E37="",G37=""),"",N(G37)-N(E37))</f>
        <v/>
      </c>
      <c r="I37" s="14">
        <f>IF(OR(N(E37)=0,G37=""),"",H37/E37)</f>
        <v/>
      </c>
      <c r="J37" s="21" t="n"/>
    </row>
    <row r="38">
      <c r="B38" s="19" t="n"/>
      <c r="C38" s="21" t="n"/>
      <c r="D38" s="19" t="n"/>
      <c r="E38" s="20" t="n"/>
      <c r="F38" s="20" t="n"/>
      <c r="G38" s="20" t="n"/>
      <c r="H38" s="13">
        <f>IF(AND(E38="",G38=""),"",N(G38)-N(E38))</f>
        <v/>
      </c>
      <c r="I38" s="14">
        <f>IF(OR(N(E38)=0,G38=""),"",H38/E38)</f>
        <v/>
      </c>
      <c r="J38" s="21" t="n"/>
    </row>
    <row r="39">
      <c r="B39" s="15" t="inlineStr">
        <is>
          <t>Creative total</t>
        </is>
      </c>
      <c r="C39" s="23" t="n"/>
      <c r="D39" s="23" t="n"/>
      <c r="E39" s="16">
        <f>SUM(E9:E38)</f>
        <v/>
      </c>
      <c r="F39" s="16">
        <f>SUM(F9:F38)</f>
        <v/>
      </c>
      <c r="G39" s="16">
        <f>SUM(G9:G38)</f>
        <v/>
      </c>
      <c r="H39" s="17">
        <f>G39-E39</f>
        <v/>
      </c>
      <c r="I39" s="18">
        <f>IF(E39=0,"",H39/E39)</f>
        <v/>
      </c>
      <c r="J39" s="23" t="n"/>
    </row>
  </sheetData>
  <autoFilter ref="B8:J38"/>
  <dataValidations count="1">
    <dataValidation sqref="B9:B38" showDropDown="0" showInputMessage="0" showErrorMessage="0" allowBlank="1" error="That isn't on the list. Keep it anyway?" type="list" errorStyle="information">
      <formula1>=Lists!$B$7:$B$16</formula1>
    </dataValidation>
  </dataValidations>
  <printOptions horizontalCentered="1"/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0094FF"/>
    <outlinePr summaryBelow="1" summaryRight="1"/>
    <pageSetUpPr fitToPage="1"/>
  </sheetPr>
  <dimension ref="A1:S39"/>
  <sheetViews>
    <sheetView showGridLines="0" zoomScale="10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8"/>
  <cols>
    <col width="2.5" customWidth="1" min="1" max="1"/>
    <col width="22" customWidth="1" min="2" max="2"/>
    <col width="32" customWidth="1" min="3" max="3"/>
    <col width="24" customWidth="1" min="4" max="4"/>
    <col width="14" customWidth="1" min="5" max="5"/>
    <col width="14" customWidth="1" min="6" max="6"/>
    <col width="14" customWidth="1" min="7" max="7"/>
    <col width="13" customWidth="1" min="8" max="8"/>
    <col width="12" customWidth="1" min="9" max="9"/>
    <col width="46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 ht="48" customHeight="1">
      <c r="A1" s="1" t="n"/>
      <c r="B1" s="2" t="inlineStr">
        <is>
          <t>Content · budget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6" customHeight="1"/>
    <row r="4">
      <c r="B4" s="4" t="inlineStr">
        <is>
          <t>Every line item for this function. Blue text on white is yours to fill in. Light-blue cells calculate; leave them as they are.</t>
        </is>
      </c>
    </row>
    <row r="6">
      <c r="B6" s="9" t="inlineStr">
        <is>
          <t>All values in USD. Years follow the plan year on the Summary tab.</t>
        </is>
      </c>
    </row>
    <row r="8" ht="34" customHeight="1">
      <c r="B8" s="10" t="inlineStr">
        <is>
          <t>Category</t>
        </is>
      </c>
      <c r="C8" s="10" t="inlineStr">
        <is>
          <t>Activity</t>
        </is>
      </c>
      <c r="D8" s="10" t="inlineStr">
        <is>
          <t>Vendor or partner</t>
        </is>
      </c>
      <c r="E8" s="10">
        <f>Summary!$C$6-1&amp;" budget"</f>
        <v/>
      </c>
      <c r="F8" s="10">
        <f>Summary!$C$6-1&amp;" actual"</f>
        <v/>
      </c>
      <c r="G8" s="10">
        <f>Summary!$C$6&amp;" budget"</f>
        <v/>
      </c>
      <c r="H8" s="10" t="inlineStr">
        <is>
          <t>Variance $</t>
        </is>
      </c>
      <c r="I8" s="10" t="inlineStr">
        <is>
          <t>Variance %</t>
        </is>
      </c>
      <c r="J8" s="10" t="inlineStr">
        <is>
          <t>Notes and assumptions</t>
        </is>
      </c>
    </row>
    <row r="9">
      <c r="B9" s="19" t="inlineStr">
        <is>
          <t>Agency &amp; services</t>
        </is>
      </c>
      <c r="C9" s="21" t="inlineStr">
        <is>
          <t>Writing support</t>
        </is>
      </c>
      <c r="D9" s="19" t="inlineStr">
        <is>
          <t>Content agency</t>
        </is>
      </c>
      <c r="E9" s="20" t="n">
        <v>72000</v>
      </c>
      <c r="F9" s="20" t="n">
        <v>70000</v>
      </c>
      <c r="G9" s="20" t="n">
        <v>78000</v>
      </c>
      <c r="H9" s="13">
        <f>IF(AND(E9="",G9=""),"",N(G9)-N(E9))</f>
        <v/>
      </c>
      <c r="I9" s="14">
        <f>IF(OR(N(E9)=0,G9=""),"",H9/E9)</f>
        <v/>
      </c>
      <c r="J9" s="21" t="n"/>
    </row>
    <row r="10">
      <c r="B10" s="19" t="inlineStr">
        <is>
          <t>Research &amp; analyst</t>
        </is>
      </c>
      <c r="C10" s="21" t="inlineStr">
        <is>
          <t>Industry research report</t>
        </is>
      </c>
      <c r="D10" s="19" t="inlineStr">
        <is>
          <t>Research partner</t>
        </is>
      </c>
      <c r="E10" s="20" t="n">
        <v>55000</v>
      </c>
      <c r="F10" s="20" t="n">
        <v>55000</v>
      </c>
      <c r="G10" s="20" t="n">
        <v>60000</v>
      </c>
      <c r="H10" s="13">
        <f>IF(AND(E10="",G10=""),"",N(G10)-N(E10))</f>
        <v/>
      </c>
      <c r="I10" s="14">
        <f>IF(OR(N(E10)=0,G10=""),"",H10/E10)</f>
        <v/>
      </c>
      <c r="J10" s="21" t="inlineStr">
        <is>
          <t>One flagship report a year.</t>
        </is>
      </c>
    </row>
    <row r="11">
      <c r="B11" s="19" t="inlineStr">
        <is>
          <t>Content production</t>
        </is>
      </c>
      <c r="C11" s="21" t="inlineStr">
        <is>
          <t>Translation and localization</t>
        </is>
      </c>
      <c r="D11" s="19" t="inlineStr">
        <is>
          <t>Translation vendor</t>
        </is>
      </c>
      <c r="E11" s="20" t="n">
        <v>30000</v>
      </c>
      <c r="F11" s="20" t="n">
        <v>27800</v>
      </c>
      <c r="G11" s="20" t="n">
        <v>36000</v>
      </c>
      <c r="H11" s="13">
        <f>IF(AND(E11="",G11=""),"",N(G11)-N(E11))</f>
        <v/>
      </c>
      <c r="I11" s="14">
        <f>IF(OR(N(E11)=0,G11=""),"",H11/E11)</f>
        <v/>
      </c>
      <c r="J11" s="21" t="inlineStr">
        <is>
          <t>Adds two languages.</t>
        </is>
      </c>
    </row>
    <row r="12">
      <c r="B12" s="19" t="n"/>
      <c r="C12" s="21" t="n"/>
      <c r="D12" s="19" t="n"/>
      <c r="E12" s="20" t="n"/>
      <c r="F12" s="20" t="n"/>
      <c r="G12" s="20" t="n"/>
      <c r="H12" s="13">
        <f>IF(AND(E12="",G12=""),"",N(G12)-N(E12))</f>
        <v/>
      </c>
      <c r="I12" s="14">
        <f>IF(OR(N(E12)=0,G12=""),"",H12/E12)</f>
        <v/>
      </c>
      <c r="J12" s="21" t="n"/>
    </row>
    <row r="13">
      <c r="B13" s="19" t="n"/>
      <c r="C13" s="21" t="n"/>
      <c r="D13" s="19" t="n"/>
      <c r="E13" s="20" t="n"/>
      <c r="F13" s="20" t="n"/>
      <c r="G13" s="20" t="n"/>
      <c r="H13" s="13">
        <f>IF(AND(E13="",G13=""),"",N(G13)-N(E13))</f>
        <v/>
      </c>
      <c r="I13" s="14">
        <f>IF(OR(N(E13)=0,G13=""),"",H13/E13)</f>
        <v/>
      </c>
      <c r="J13" s="21" t="n"/>
    </row>
    <row r="14">
      <c r="B14" s="19" t="n"/>
      <c r="C14" s="21" t="n"/>
      <c r="D14" s="19" t="n"/>
      <c r="E14" s="20" t="n"/>
      <c r="F14" s="20" t="n"/>
      <c r="G14" s="20" t="n"/>
      <c r="H14" s="13">
        <f>IF(AND(E14="",G14=""),"",N(G14)-N(E14))</f>
        <v/>
      </c>
      <c r="I14" s="14">
        <f>IF(OR(N(E14)=0,G14=""),"",H14/E14)</f>
        <v/>
      </c>
      <c r="J14" s="21" t="n"/>
    </row>
    <row r="15">
      <c r="B15" s="19" t="n"/>
      <c r="C15" s="21" t="n"/>
      <c r="D15" s="19" t="n"/>
      <c r="E15" s="20" t="n"/>
      <c r="F15" s="20" t="n"/>
      <c r="G15" s="20" t="n"/>
      <c r="H15" s="13">
        <f>IF(AND(E15="",G15=""),"",N(G15)-N(E15))</f>
        <v/>
      </c>
      <c r="I15" s="14">
        <f>IF(OR(N(E15)=0,G15=""),"",H15/E15)</f>
        <v/>
      </c>
      <c r="J15" s="21" t="n"/>
    </row>
    <row r="16">
      <c r="B16" s="19" t="n"/>
      <c r="C16" s="21" t="n"/>
      <c r="D16" s="19" t="n"/>
      <c r="E16" s="20" t="n"/>
      <c r="F16" s="20" t="n"/>
      <c r="G16" s="20" t="n"/>
      <c r="H16" s="13">
        <f>IF(AND(E16="",G16=""),"",N(G16)-N(E16))</f>
        <v/>
      </c>
      <c r="I16" s="14">
        <f>IF(OR(N(E16)=0,G16=""),"",H16/E16)</f>
        <v/>
      </c>
      <c r="J16" s="21" t="n"/>
    </row>
    <row r="17">
      <c r="B17" s="19" t="n"/>
      <c r="C17" s="21" t="n"/>
      <c r="D17" s="19" t="n"/>
      <c r="E17" s="20" t="n"/>
      <c r="F17" s="20" t="n"/>
      <c r="G17" s="20" t="n"/>
      <c r="H17" s="13">
        <f>IF(AND(E17="",G17=""),"",N(G17)-N(E17))</f>
        <v/>
      </c>
      <c r="I17" s="14">
        <f>IF(OR(N(E17)=0,G17=""),"",H17/E17)</f>
        <v/>
      </c>
      <c r="J17" s="21" t="n"/>
    </row>
    <row r="18">
      <c r="B18" s="19" t="n"/>
      <c r="C18" s="21" t="n"/>
      <c r="D18" s="19" t="n"/>
      <c r="E18" s="20" t="n"/>
      <c r="F18" s="20" t="n"/>
      <c r="G18" s="20" t="n"/>
      <c r="H18" s="13">
        <f>IF(AND(E18="",G18=""),"",N(G18)-N(E18))</f>
        <v/>
      </c>
      <c r="I18" s="14">
        <f>IF(OR(N(E18)=0,G18=""),"",H18/E18)</f>
        <v/>
      </c>
      <c r="J18" s="21" t="n"/>
    </row>
    <row r="19">
      <c r="B19" s="19" t="n"/>
      <c r="C19" s="21" t="n"/>
      <c r="D19" s="19" t="n"/>
      <c r="E19" s="20" t="n"/>
      <c r="F19" s="20" t="n"/>
      <c r="G19" s="20" t="n"/>
      <c r="H19" s="13">
        <f>IF(AND(E19="",G19=""),"",N(G19)-N(E19))</f>
        <v/>
      </c>
      <c r="I19" s="14">
        <f>IF(OR(N(E19)=0,G19=""),"",H19/E19)</f>
        <v/>
      </c>
      <c r="J19" s="21" t="n"/>
    </row>
    <row r="20">
      <c r="B20" s="19" t="n"/>
      <c r="C20" s="21" t="n"/>
      <c r="D20" s="19" t="n"/>
      <c r="E20" s="20" t="n"/>
      <c r="F20" s="20" t="n"/>
      <c r="G20" s="20" t="n"/>
      <c r="H20" s="13">
        <f>IF(AND(E20="",G20=""),"",N(G20)-N(E20))</f>
        <v/>
      </c>
      <c r="I20" s="14">
        <f>IF(OR(N(E20)=0,G20=""),"",H20/E20)</f>
        <v/>
      </c>
      <c r="J20" s="21" t="n"/>
    </row>
    <row r="21">
      <c r="B21" s="19" t="n"/>
      <c r="C21" s="21" t="n"/>
      <c r="D21" s="19" t="n"/>
      <c r="E21" s="20" t="n"/>
      <c r="F21" s="20" t="n"/>
      <c r="G21" s="20" t="n"/>
      <c r="H21" s="13">
        <f>IF(AND(E21="",G21=""),"",N(G21)-N(E21))</f>
        <v/>
      </c>
      <c r="I21" s="14">
        <f>IF(OR(N(E21)=0,G21=""),"",H21/E21)</f>
        <v/>
      </c>
      <c r="J21" s="21" t="n"/>
    </row>
    <row r="22">
      <c r="B22" s="19" t="n"/>
      <c r="C22" s="21" t="n"/>
      <c r="D22" s="19" t="n"/>
      <c r="E22" s="20" t="n"/>
      <c r="F22" s="20" t="n"/>
      <c r="G22" s="20" t="n"/>
      <c r="H22" s="13">
        <f>IF(AND(E22="",G22=""),"",N(G22)-N(E22))</f>
        <v/>
      </c>
      <c r="I22" s="14">
        <f>IF(OR(N(E22)=0,G22=""),"",H22/E22)</f>
        <v/>
      </c>
      <c r="J22" s="21" t="n"/>
    </row>
    <row r="23">
      <c r="B23" s="19" t="n"/>
      <c r="C23" s="21" t="n"/>
      <c r="D23" s="19" t="n"/>
      <c r="E23" s="20" t="n"/>
      <c r="F23" s="20" t="n"/>
      <c r="G23" s="20" t="n"/>
      <c r="H23" s="13">
        <f>IF(AND(E23="",G23=""),"",N(G23)-N(E23))</f>
        <v/>
      </c>
      <c r="I23" s="14">
        <f>IF(OR(N(E23)=0,G23=""),"",H23/E23)</f>
        <v/>
      </c>
      <c r="J23" s="21" t="n"/>
    </row>
    <row r="24">
      <c r="B24" s="19" t="n"/>
      <c r="C24" s="21" t="n"/>
      <c r="D24" s="19" t="n"/>
      <c r="E24" s="20" t="n"/>
      <c r="F24" s="20" t="n"/>
      <c r="G24" s="20" t="n"/>
      <c r="H24" s="13">
        <f>IF(AND(E24="",G24=""),"",N(G24)-N(E24))</f>
        <v/>
      </c>
      <c r="I24" s="14">
        <f>IF(OR(N(E24)=0,G24=""),"",H24/E24)</f>
        <v/>
      </c>
      <c r="J24" s="21" t="n"/>
    </row>
    <row r="25">
      <c r="B25" s="19" t="n"/>
      <c r="C25" s="21" t="n"/>
      <c r="D25" s="19" t="n"/>
      <c r="E25" s="20" t="n"/>
      <c r="F25" s="20" t="n"/>
      <c r="G25" s="20" t="n"/>
      <c r="H25" s="13">
        <f>IF(AND(E25="",G25=""),"",N(G25)-N(E25))</f>
        <v/>
      </c>
      <c r="I25" s="14">
        <f>IF(OR(N(E25)=0,G25=""),"",H25/E25)</f>
        <v/>
      </c>
      <c r="J25" s="21" t="n"/>
    </row>
    <row r="26">
      <c r="B26" s="19" t="n"/>
      <c r="C26" s="21" t="n"/>
      <c r="D26" s="19" t="n"/>
      <c r="E26" s="20" t="n"/>
      <c r="F26" s="20" t="n"/>
      <c r="G26" s="20" t="n"/>
      <c r="H26" s="13">
        <f>IF(AND(E26="",G26=""),"",N(G26)-N(E26))</f>
        <v/>
      </c>
      <c r="I26" s="14">
        <f>IF(OR(N(E26)=0,G26=""),"",H26/E26)</f>
        <v/>
      </c>
      <c r="J26" s="21" t="n"/>
    </row>
    <row r="27">
      <c r="B27" s="19" t="n"/>
      <c r="C27" s="21" t="n"/>
      <c r="D27" s="19" t="n"/>
      <c r="E27" s="20" t="n"/>
      <c r="F27" s="20" t="n"/>
      <c r="G27" s="20" t="n"/>
      <c r="H27" s="13">
        <f>IF(AND(E27="",G27=""),"",N(G27)-N(E27))</f>
        <v/>
      </c>
      <c r="I27" s="14">
        <f>IF(OR(N(E27)=0,G27=""),"",H27/E27)</f>
        <v/>
      </c>
      <c r="J27" s="21" t="n"/>
    </row>
    <row r="28">
      <c r="B28" s="19" t="n"/>
      <c r="C28" s="21" t="n"/>
      <c r="D28" s="19" t="n"/>
      <c r="E28" s="20" t="n"/>
      <c r="F28" s="20" t="n"/>
      <c r="G28" s="20" t="n"/>
      <c r="H28" s="13">
        <f>IF(AND(E28="",G28=""),"",N(G28)-N(E28))</f>
        <v/>
      </c>
      <c r="I28" s="14">
        <f>IF(OR(N(E28)=0,G28=""),"",H28/E28)</f>
        <v/>
      </c>
      <c r="J28" s="21" t="n"/>
    </row>
    <row r="29">
      <c r="B29" s="19" t="n"/>
      <c r="C29" s="21" t="n"/>
      <c r="D29" s="19" t="n"/>
      <c r="E29" s="20" t="n"/>
      <c r="F29" s="20" t="n"/>
      <c r="G29" s="20" t="n"/>
      <c r="H29" s="13">
        <f>IF(AND(E29="",G29=""),"",N(G29)-N(E29))</f>
        <v/>
      </c>
      <c r="I29" s="14">
        <f>IF(OR(N(E29)=0,G29=""),"",H29/E29)</f>
        <v/>
      </c>
      <c r="J29" s="21" t="n"/>
    </row>
    <row r="30">
      <c r="B30" s="19" t="n"/>
      <c r="C30" s="21" t="n"/>
      <c r="D30" s="19" t="n"/>
      <c r="E30" s="20" t="n"/>
      <c r="F30" s="20" t="n"/>
      <c r="G30" s="20" t="n"/>
      <c r="H30" s="13">
        <f>IF(AND(E30="",G30=""),"",N(G30)-N(E30))</f>
        <v/>
      </c>
      <c r="I30" s="14">
        <f>IF(OR(N(E30)=0,G30=""),"",H30/E30)</f>
        <v/>
      </c>
      <c r="J30" s="21" t="n"/>
    </row>
    <row r="31">
      <c r="B31" s="19" t="n"/>
      <c r="C31" s="21" t="n"/>
      <c r="D31" s="19" t="n"/>
      <c r="E31" s="20" t="n"/>
      <c r="F31" s="20" t="n"/>
      <c r="G31" s="20" t="n"/>
      <c r="H31" s="13">
        <f>IF(AND(E31="",G31=""),"",N(G31)-N(E31))</f>
        <v/>
      </c>
      <c r="I31" s="14">
        <f>IF(OR(N(E31)=0,G31=""),"",H31/E31)</f>
        <v/>
      </c>
      <c r="J31" s="21" t="n"/>
    </row>
    <row r="32">
      <c r="B32" s="19" t="n"/>
      <c r="C32" s="21" t="n"/>
      <c r="D32" s="19" t="n"/>
      <c r="E32" s="20" t="n"/>
      <c r="F32" s="20" t="n"/>
      <c r="G32" s="20" t="n"/>
      <c r="H32" s="13">
        <f>IF(AND(E32="",G32=""),"",N(G32)-N(E32))</f>
        <v/>
      </c>
      <c r="I32" s="14">
        <f>IF(OR(N(E32)=0,G32=""),"",H32/E32)</f>
        <v/>
      </c>
      <c r="J32" s="21" t="n"/>
    </row>
    <row r="33">
      <c r="B33" s="19" t="n"/>
      <c r="C33" s="21" t="n"/>
      <c r="D33" s="19" t="n"/>
      <c r="E33" s="20" t="n"/>
      <c r="F33" s="20" t="n"/>
      <c r="G33" s="20" t="n"/>
      <c r="H33" s="13">
        <f>IF(AND(E33="",G33=""),"",N(G33)-N(E33))</f>
        <v/>
      </c>
      <c r="I33" s="14">
        <f>IF(OR(N(E33)=0,G33=""),"",H33/E33)</f>
        <v/>
      </c>
      <c r="J33" s="21" t="n"/>
    </row>
    <row r="34">
      <c r="B34" s="19" t="n"/>
      <c r="C34" s="21" t="n"/>
      <c r="D34" s="19" t="n"/>
      <c r="E34" s="20" t="n"/>
      <c r="F34" s="20" t="n"/>
      <c r="G34" s="20" t="n"/>
      <c r="H34" s="13">
        <f>IF(AND(E34="",G34=""),"",N(G34)-N(E34))</f>
        <v/>
      </c>
      <c r="I34" s="14">
        <f>IF(OR(N(E34)=0,G34=""),"",H34/E34)</f>
        <v/>
      </c>
      <c r="J34" s="21" t="n"/>
    </row>
    <row r="35">
      <c r="B35" s="19" t="n"/>
      <c r="C35" s="21" t="n"/>
      <c r="D35" s="19" t="n"/>
      <c r="E35" s="20" t="n"/>
      <c r="F35" s="20" t="n"/>
      <c r="G35" s="20" t="n"/>
      <c r="H35" s="13">
        <f>IF(AND(E35="",G35=""),"",N(G35)-N(E35))</f>
        <v/>
      </c>
      <c r="I35" s="14">
        <f>IF(OR(N(E35)=0,G35=""),"",H35/E35)</f>
        <v/>
      </c>
      <c r="J35" s="21" t="n"/>
    </row>
    <row r="36">
      <c r="B36" s="19" t="n"/>
      <c r="C36" s="21" t="n"/>
      <c r="D36" s="19" t="n"/>
      <c r="E36" s="20" t="n"/>
      <c r="F36" s="20" t="n"/>
      <c r="G36" s="20" t="n"/>
      <c r="H36" s="13">
        <f>IF(AND(E36="",G36=""),"",N(G36)-N(E36))</f>
        <v/>
      </c>
      <c r="I36" s="14">
        <f>IF(OR(N(E36)=0,G36=""),"",H36/E36)</f>
        <v/>
      </c>
      <c r="J36" s="21" t="n"/>
    </row>
    <row r="37">
      <c r="B37" s="19" t="n"/>
      <c r="C37" s="21" t="n"/>
      <c r="D37" s="19" t="n"/>
      <c r="E37" s="20" t="n"/>
      <c r="F37" s="20" t="n"/>
      <c r="G37" s="20" t="n"/>
      <c r="H37" s="13">
        <f>IF(AND(E37="",G37=""),"",N(G37)-N(E37))</f>
        <v/>
      </c>
      <c r="I37" s="14">
        <f>IF(OR(N(E37)=0,G37=""),"",H37/E37)</f>
        <v/>
      </c>
      <c r="J37" s="21" t="n"/>
    </row>
    <row r="38">
      <c r="B38" s="19" t="n"/>
      <c r="C38" s="21" t="n"/>
      <c r="D38" s="19" t="n"/>
      <c r="E38" s="20" t="n"/>
      <c r="F38" s="20" t="n"/>
      <c r="G38" s="20" t="n"/>
      <c r="H38" s="13">
        <f>IF(AND(E38="",G38=""),"",N(G38)-N(E38))</f>
        <v/>
      </c>
      <c r="I38" s="14">
        <f>IF(OR(N(E38)=0,G38=""),"",H38/E38)</f>
        <v/>
      </c>
      <c r="J38" s="21" t="n"/>
    </row>
    <row r="39">
      <c r="B39" s="15" t="inlineStr">
        <is>
          <t>Content total</t>
        </is>
      </c>
      <c r="C39" s="23" t="n"/>
      <c r="D39" s="23" t="n"/>
      <c r="E39" s="16">
        <f>SUM(E9:E38)</f>
        <v/>
      </c>
      <c r="F39" s="16">
        <f>SUM(F9:F38)</f>
        <v/>
      </c>
      <c r="G39" s="16">
        <f>SUM(G9:G38)</f>
        <v/>
      </c>
      <c r="H39" s="17">
        <f>G39-E39</f>
        <v/>
      </c>
      <c r="I39" s="18">
        <f>IF(E39=0,"",H39/E39)</f>
        <v/>
      </c>
      <c r="J39" s="23" t="n"/>
    </row>
  </sheetData>
  <autoFilter ref="B8:J38"/>
  <dataValidations count="1">
    <dataValidation sqref="B9:B38" showDropDown="0" showInputMessage="0" showErrorMessage="0" allowBlank="1" error="That isn't on the list. Keep it anyway?" type="list" errorStyle="information">
      <formula1>=Lists!$B$7:$B$16</formula1>
    </dataValidation>
  </dataValidations>
  <printOptions horizontalCentered="1"/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0094FF"/>
    <outlinePr summaryBelow="1" summaryRight="1"/>
    <pageSetUpPr fitToPage="1"/>
  </sheetPr>
  <dimension ref="A1:S39"/>
  <sheetViews>
    <sheetView showGridLines="0" zoomScale="10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8"/>
  <cols>
    <col width="2.5" customWidth="1" min="1" max="1"/>
    <col width="22" customWidth="1" min="2" max="2"/>
    <col width="32" customWidth="1" min="3" max="3"/>
    <col width="24" customWidth="1" min="4" max="4"/>
    <col width="14" customWidth="1" min="5" max="5"/>
    <col width="14" customWidth="1" min="6" max="6"/>
    <col width="14" customWidth="1" min="7" max="7"/>
    <col width="13" customWidth="1" min="8" max="8"/>
    <col width="12" customWidth="1" min="9" max="9"/>
    <col width="46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 ht="48" customHeight="1">
      <c r="A1" s="1" t="n"/>
      <c r="B1" s="2" t="inlineStr">
        <is>
          <t>Events · budget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6" customHeight="1"/>
    <row r="4">
      <c r="B4" s="4" t="inlineStr">
        <is>
          <t>Every line item for this function. Blue text on white is yours to fill in. Light-blue cells calculate; leave them as they are.</t>
        </is>
      </c>
    </row>
    <row r="6">
      <c r="B6" s="9" t="inlineStr">
        <is>
          <t>All values in USD. Years follow the plan year on the Summary tab.</t>
        </is>
      </c>
    </row>
    <row r="8" ht="34" customHeight="1">
      <c r="B8" s="10" t="inlineStr">
        <is>
          <t>Category</t>
        </is>
      </c>
      <c r="C8" s="10" t="inlineStr">
        <is>
          <t>Activity</t>
        </is>
      </c>
      <c r="D8" s="10" t="inlineStr">
        <is>
          <t>Vendor or partner</t>
        </is>
      </c>
      <c r="E8" s="10">
        <f>Summary!$C$6-1&amp;" budget"</f>
        <v/>
      </c>
      <c r="F8" s="10">
        <f>Summary!$C$6-1&amp;" actual"</f>
        <v/>
      </c>
      <c r="G8" s="10">
        <f>Summary!$C$6&amp;" budget"</f>
        <v/>
      </c>
      <c r="H8" s="10" t="inlineStr">
        <is>
          <t>Variance $</t>
        </is>
      </c>
      <c r="I8" s="10" t="inlineStr">
        <is>
          <t>Variance %</t>
        </is>
      </c>
      <c r="J8" s="10" t="inlineStr">
        <is>
          <t>Notes and assumptions</t>
        </is>
      </c>
    </row>
    <row r="9">
      <c r="B9" s="19" t="inlineStr">
        <is>
          <t>Events</t>
        </is>
      </c>
      <c r="C9" s="21" t="inlineStr">
        <is>
          <t>Customer conference, North America</t>
        </is>
      </c>
      <c r="D9" s="19" t="inlineStr">
        <is>
          <t>Various</t>
        </is>
      </c>
      <c r="E9" s="20" t="n">
        <v>650000</v>
      </c>
      <c r="F9" s="20" t="n">
        <v>671200</v>
      </c>
      <c r="G9" s="20" t="n">
        <v>690000</v>
      </c>
      <c r="H9" s="13">
        <f>IF(AND(E9="",G9=""),"",N(G9)-N(E9))</f>
        <v/>
      </c>
      <c r="I9" s="14">
        <f>IF(OR(N(E9)=0,G9=""),"",H9/E9)</f>
        <v/>
      </c>
      <c r="J9" s="21" t="inlineStr">
        <is>
          <t>Venue and AV rates up about 6%.</t>
        </is>
      </c>
    </row>
    <row r="10">
      <c r="B10" s="19" t="inlineStr">
        <is>
          <t>Events</t>
        </is>
      </c>
      <c r="C10" s="21" t="inlineStr">
        <is>
          <t>Customer conference, EMEA</t>
        </is>
      </c>
      <c r="D10" s="19" t="inlineStr">
        <is>
          <t>Various</t>
        </is>
      </c>
      <c r="E10" s="20" t="n">
        <v>320000</v>
      </c>
      <c r="F10" s="20" t="n">
        <v>301500</v>
      </c>
      <c r="G10" s="20" t="n">
        <v>335000</v>
      </c>
      <c r="H10" s="13">
        <f>IF(AND(E10="",G10=""),"",N(G10)-N(E10))</f>
        <v/>
      </c>
      <c r="I10" s="14">
        <f>IF(OR(N(E10)=0,G10=""),"",H10/E10)</f>
        <v/>
      </c>
      <c r="J10" s="21" t="n"/>
    </row>
    <row r="11">
      <c r="B11" s="19" t="inlineStr">
        <is>
          <t>Events</t>
        </is>
      </c>
      <c r="C11" s="21" t="inlineStr">
        <is>
          <t>Customer conference, APAC</t>
        </is>
      </c>
      <c r="D11" s="19" t="inlineStr">
        <is>
          <t>Various</t>
        </is>
      </c>
      <c r="E11" s="20" t="n">
        <v>210000</v>
      </c>
      <c r="F11" s="20" t="n">
        <v>204300</v>
      </c>
      <c r="G11" s="20" t="n">
        <v>220000</v>
      </c>
      <c r="H11" s="13">
        <f>IF(AND(E11="",G11=""),"",N(G11)-N(E11))</f>
        <v/>
      </c>
      <c r="I11" s="14">
        <f>IF(OR(N(E11)=0,G11=""),"",H11/E11)</f>
        <v/>
      </c>
      <c r="J11" s="21" t="n"/>
    </row>
    <row r="12">
      <c r="B12" s="19" t="inlineStr">
        <is>
          <t>Events</t>
        </is>
      </c>
      <c r="C12" s="21" t="inlineStr">
        <is>
          <t>Industry tradeshows</t>
        </is>
      </c>
      <c r="D12" s="19" t="inlineStr">
        <is>
          <t>Various</t>
        </is>
      </c>
      <c r="E12" s="20" t="n">
        <v>180000</v>
      </c>
      <c r="F12" s="20" t="n">
        <v>172000</v>
      </c>
      <c r="G12" s="20" t="n">
        <v>180000</v>
      </c>
      <c r="H12" s="13">
        <f>IF(AND(E12="",G12=""),"",N(G12)-N(E12))</f>
        <v/>
      </c>
      <c r="I12" s="14">
        <f>IF(OR(N(E12)=0,G12=""),"",H12/E12)</f>
        <v/>
      </c>
      <c r="J12" s="21" t="inlineStr">
        <is>
          <t>Six shows, same as this year.</t>
        </is>
      </c>
    </row>
    <row r="13">
      <c r="B13" s="19" t="inlineStr">
        <is>
          <t>Promo &amp; gifting</t>
        </is>
      </c>
      <c r="C13" s="21" t="inlineStr">
        <is>
          <t>Event giveaways</t>
        </is>
      </c>
      <c r="D13" s="19" t="inlineStr">
        <is>
          <t>Promo supplier</t>
        </is>
      </c>
      <c r="E13" s="20" t="n">
        <v>35000</v>
      </c>
      <c r="F13" s="20" t="n">
        <v>38900</v>
      </c>
      <c r="G13" s="20" t="n">
        <v>36000</v>
      </c>
      <c r="H13" s="13">
        <f>IF(AND(E13="",G13=""),"",N(G13)-N(E13))</f>
        <v/>
      </c>
      <c r="I13" s="14">
        <f>IF(OR(N(E13)=0,G13=""),"",H13/E13)</f>
        <v/>
      </c>
      <c r="J13" s="21" t="n"/>
    </row>
    <row r="14">
      <c r="B14" s="19" t="n"/>
      <c r="C14" s="21" t="n"/>
      <c r="D14" s="19" t="n"/>
      <c r="E14" s="20" t="n"/>
      <c r="F14" s="20" t="n"/>
      <c r="G14" s="20" t="n"/>
      <c r="H14" s="13">
        <f>IF(AND(E14="",G14=""),"",N(G14)-N(E14))</f>
        <v/>
      </c>
      <c r="I14" s="14">
        <f>IF(OR(N(E14)=0,G14=""),"",H14/E14)</f>
        <v/>
      </c>
      <c r="J14" s="21" t="n"/>
    </row>
    <row r="15">
      <c r="B15" s="19" t="n"/>
      <c r="C15" s="21" t="n"/>
      <c r="D15" s="19" t="n"/>
      <c r="E15" s="20" t="n"/>
      <c r="F15" s="20" t="n"/>
      <c r="G15" s="20" t="n"/>
      <c r="H15" s="13">
        <f>IF(AND(E15="",G15=""),"",N(G15)-N(E15))</f>
        <v/>
      </c>
      <c r="I15" s="14">
        <f>IF(OR(N(E15)=0,G15=""),"",H15/E15)</f>
        <v/>
      </c>
      <c r="J15" s="21" t="n"/>
    </row>
    <row r="16">
      <c r="B16" s="19" t="n"/>
      <c r="C16" s="21" t="n"/>
      <c r="D16" s="19" t="n"/>
      <c r="E16" s="20" t="n"/>
      <c r="F16" s="20" t="n"/>
      <c r="G16" s="20" t="n"/>
      <c r="H16" s="13">
        <f>IF(AND(E16="",G16=""),"",N(G16)-N(E16))</f>
        <v/>
      </c>
      <c r="I16" s="14">
        <f>IF(OR(N(E16)=0,G16=""),"",H16/E16)</f>
        <v/>
      </c>
      <c r="J16" s="21" t="n"/>
    </row>
    <row r="17">
      <c r="B17" s="19" t="n"/>
      <c r="C17" s="21" t="n"/>
      <c r="D17" s="19" t="n"/>
      <c r="E17" s="20" t="n"/>
      <c r="F17" s="20" t="n"/>
      <c r="G17" s="20" t="n"/>
      <c r="H17" s="13">
        <f>IF(AND(E17="",G17=""),"",N(G17)-N(E17))</f>
        <v/>
      </c>
      <c r="I17" s="14">
        <f>IF(OR(N(E17)=0,G17=""),"",H17/E17)</f>
        <v/>
      </c>
      <c r="J17" s="21" t="n"/>
    </row>
    <row r="18">
      <c r="B18" s="19" t="n"/>
      <c r="C18" s="21" t="n"/>
      <c r="D18" s="19" t="n"/>
      <c r="E18" s="20" t="n"/>
      <c r="F18" s="20" t="n"/>
      <c r="G18" s="20" t="n"/>
      <c r="H18" s="13">
        <f>IF(AND(E18="",G18=""),"",N(G18)-N(E18))</f>
        <v/>
      </c>
      <c r="I18" s="14">
        <f>IF(OR(N(E18)=0,G18=""),"",H18/E18)</f>
        <v/>
      </c>
      <c r="J18" s="21" t="n"/>
    </row>
    <row r="19">
      <c r="B19" s="19" t="n"/>
      <c r="C19" s="21" t="n"/>
      <c r="D19" s="19" t="n"/>
      <c r="E19" s="20" t="n"/>
      <c r="F19" s="20" t="n"/>
      <c r="G19" s="20" t="n"/>
      <c r="H19" s="13">
        <f>IF(AND(E19="",G19=""),"",N(G19)-N(E19))</f>
        <v/>
      </c>
      <c r="I19" s="14">
        <f>IF(OR(N(E19)=0,G19=""),"",H19/E19)</f>
        <v/>
      </c>
      <c r="J19" s="21" t="n"/>
    </row>
    <row r="20">
      <c r="B20" s="19" t="n"/>
      <c r="C20" s="21" t="n"/>
      <c r="D20" s="19" t="n"/>
      <c r="E20" s="20" t="n"/>
      <c r="F20" s="20" t="n"/>
      <c r="G20" s="20" t="n"/>
      <c r="H20" s="13">
        <f>IF(AND(E20="",G20=""),"",N(G20)-N(E20))</f>
        <v/>
      </c>
      <c r="I20" s="14">
        <f>IF(OR(N(E20)=0,G20=""),"",H20/E20)</f>
        <v/>
      </c>
      <c r="J20" s="21" t="n"/>
    </row>
    <row r="21">
      <c r="B21" s="19" t="n"/>
      <c r="C21" s="21" t="n"/>
      <c r="D21" s="19" t="n"/>
      <c r="E21" s="20" t="n"/>
      <c r="F21" s="20" t="n"/>
      <c r="G21" s="20" t="n"/>
      <c r="H21" s="13">
        <f>IF(AND(E21="",G21=""),"",N(G21)-N(E21))</f>
        <v/>
      </c>
      <c r="I21" s="14">
        <f>IF(OR(N(E21)=0,G21=""),"",H21/E21)</f>
        <v/>
      </c>
      <c r="J21" s="21" t="n"/>
    </row>
    <row r="22">
      <c r="B22" s="19" t="n"/>
      <c r="C22" s="21" t="n"/>
      <c r="D22" s="19" t="n"/>
      <c r="E22" s="20" t="n"/>
      <c r="F22" s="20" t="n"/>
      <c r="G22" s="20" t="n"/>
      <c r="H22" s="13">
        <f>IF(AND(E22="",G22=""),"",N(G22)-N(E22))</f>
        <v/>
      </c>
      <c r="I22" s="14">
        <f>IF(OR(N(E22)=0,G22=""),"",H22/E22)</f>
        <v/>
      </c>
      <c r="J22" s="21" t="n"/>
    </row>
    <row r="23">
      <c r="B23" s="19" t="n"/>
      <c r="C23" s="21" t="n"/>
      <c r="D23" s="19" t="n"/>
      <c r="E23" s="20" t="n"/>
      <c r="F23" s="20" t="n"/>
      <c r="G23" s="20" t="n"/>
      <c r="H23" s="13">
        <f>IF(AND(E23="",G23=""),"",N(G23)-N(E23))</f>
        <v/>
      </c>
      <c r="I23" s="14">
        <f>IF(OR(N(E23)=0,G23=""),"",H23/E23)</f>
        <v/>
      </c>
      <c r="J23" s="21" t="n"/>
    </row>
    <row r="24">
      <c r="B24" s="19" t="n"/>
      <c r="C24" s="21" t="n"/>
      <c r="D24" s="19" t="n"/>
      <c r="E24" s="20" t="n"/>
      <c r="F24" s="20" t="n"/>
      <c r="G24" s="20" t="n"/>
      <c r="H24" s="13">
        <f>IF(AND(E24="",G24=""),"",N(G24)-N(E24))</f>
        <v/>
      </c>
      <c r="I24" s="14">
        <f>IF(OR(N(E24)=0,G24=""),"",H24/E24)</f>
        <v/>
      </c>
      <c r="J24" s="21" t="n"/>
    </row>
    <row r="25">
      <c r="B25" s="19" t="n"/>
      <c r="C25" s="21" t="n"/>
      <c r="D25" s="19" t="n"/>
      <c r="E25" s="20" t="n"/>
      <c r="F25" s="20" t="n"/>
      <c r="G25" s="20" t="n"/>
      <c r="H25" s="13">
        <f>IF(AND(E25="",G25=""),"",N(G25)-N(E25))</f>
        <v/>
      </c>
      <c r="I25" s="14">
        <f>IF(OR(N(E25)=0,G25=""),"",H25/E25)</f>
        <v/>
      </c>
      <c r="J25" s="21" t="n"/>
    </row>
    <row r="26">
      <c r="B26" s="19" t="n"/>
      <c r="C26" s="21" t="n"/>
      <c r="D26" s="19" t="n"/>
      <c r="E26" s="20" t="n"/>
      <c r="F26" s="20" t="n"/>
      <c r="G26" s="20" t="n"/>
      <c r="H26" s="13">
        <f>IF(AND(E26="",G26=""),"",N(G26)-N(E26))</f>
        <v/>
      </c>
      <c r="I26" s="14">
        <f>IF(OR(N(E26)=0,G26=""),"",H26/E26)</f>
        <v/>
      </c>
      <c r="J26" s="21" t="n"/>
    </row>
    <row r="27">
      <c r="B27" s="19" t="n"/>
      <c r="C27" s="21" t="n"/>
      <c r="D27" s="19" t="n"/>
      <c r="E27" s="20" t="n"/>
      <c r="F27" s="20" t="n"/>
      <c r="G27" s="20" t="n"/>
      <c r="H27" s="13">
        <f>IF(AND(E27="",G27=""),"",N(G27)-N(E27))</f>
        <v/>
      </c>
      <c r="I27" s="14">
        <f>IF(OR(N(E27)=0,G27=""),"",H27/E27)</f>
        <v/>
      </c>
      <c r="J27" s="21" t="n"/>
    </row>
    <row r="28">
      <c r="B28" s="19" t="n"/>
      <c r="C28" s="21" t="n"/>
      <c r="D28" s="19" t="n"/>
      <c r="E28" s="20" t="n"/>
      <c r="F28" s="20" t="n"/>
      <c r="G28" s="20" t="n"/>
      <c r="H28" s="13">
        <f>IF(AND(E28="",G28=""),"",N(G28)-N(E28))</f>
        <v/>
      </c>
      <c r="I28" s="14">
        <f>IF(OR(N(E28)=0,G28=""),"",H28/E28)</f>
        <v/>
      </c>
      <c r="J28" s="21" t="n"/>
    </row>
    <row r="29">
      <c r="B29" s="19" t="n"/>
      <c r="C29" s="21" t="n"/>
      <c r="D29" s="19" t="n"/>
      <c r="E29" s="20" t="n"/>
      <c r="F29" s="20" t="n"/>
      <c r="G29" s="20" t="n"/>
      <c r="H29" s="13">
        <f>IF(AND(E29="",G29=""),"",N(G29)-N(E29))</f>
        <v/>
      </c>
      <c r="I29" s="14">
        <f>IF(OR(N(E29)=0,G29=""),"",H29/E29)</f>
        <v/>
      </c>
      <c r="J29" s="21" t="n"/>
    </row>
    <row r="30">
      <c r="B30" s="19" t="n"/>
      <c r="C30" s="21" t="n"/>
      <c r="D30" s="19" t="n"/>
      <c r="E30" s="20" t="n"/>
      <c r="F30" s="20" t="n"/>
      <c r="G30" s="20" t="n"/>
      <c r="H30" s="13">
        <f>IF(AND(E30="",G30=""),"",N(G30)-N(E30))</f>
        <v/>
      </c>
      <c r="I30" s="14">
        <f>IF(OR(N(E30)=0,G30=""),"",H30/E30)</f>
        <v/>
      </c>
      <c r="J30" s="21" t="n"/>
    </row>
    <row r="31">
      <c r="B31" s="19" t="n"/>
      <c r="C31" s="21" t="n"/>
      <c r="D31" s="19" t="n"/>
      <c r="E31" s="20" t="n"/>
      <c r="F31" s="20" t="n"/>
      <c r="G31" s="20" t="n"/>
      <c r="H31" s="13">
        <f>IF(AND(E31="",G31=""),"",N(G31)-N(E31))</f>
        <v/>
      </c>
      <c r="I31" s="14">
        <f>IF(OR(N(E31)=0,G31=""),"",H31/E31)</f>
        <v/>
      </c>
      <c r="J31" s="21" t="n"/>
    </row>
    <row r="32">
      <c r="B32" s="19" t="n"/>
      <c r="C32" s="21" t="n"/>
      <c r="D32" s="19" t="n"/>
      <c r="E32" s="20" t="n"/>
      <c r="F32" s="20" t="n"/>
      <c r="G32" s="20" t="n"/>
      <c r="H32" s="13">
        <f>IF(AND(E32="",G32=""),"",N(G32)-N(E32))</f>
        <v/>
      </c>
      <c r="I32" s="14">
        <f>IF(OR(N(E32)=0,G32=""),"",H32/E32)</f>
        <v/>
      </c>
      <c r="J32" s="21" t="n"/>
    </row>
    <row r="33">
      <c r="B33" s="19" t="n"/>
      <c r="C33" s="21" t="n"/>
      <c r="D33" s="19" t="n"/>
      <c r="E33" s="20" t="n"/>
      <c r="F33" s="20" t="n"/>
      <c r="G33" s="20" t="n"/>
      <c r="H33" s="13">
        <f>IF(AND(E33="",G33=""),"",N(G33)-N(E33))</f>
        <v/>
      </c>
      <c r="I33" s="14">
        <f>IF(OR(N(E33)=0,G33=""),"",H33/E33)</f>
        <v/>
      </c>
      <c r="J33" s="21" t="n"/>
    </row>
    <row r="34">
      <c r="B34" s="19" t="n"/>
      <c r="C34" s="21" t="n"/>
      <c r="D34" s="19" t="n"/>
      <c r="E34" s="20" t="n"/>
      <c r="F34" s="20" t="n"/>
      <c r="G34" s="20" t="n"/>
      <c r="H34" s="13">
        <f>IF(AND(E34="",G34=""),"",N(G34)-N(E34))</f>
        <v/>
      </c>
      <c r="I34" s="14">
        <f>IF(OR(N(E34)=0,G34=""),"",H34/E34)</f>
        <v/>
      </c>
      <c r="J34" s="21" t="n"/>
    </row>
    <row r="35">
      <c r="B35" s="19" t="n"/>
      <c r="C35" s="21" t="n"/>
      <c r="D35" s="19" t="n"/>
      <c r="E35" s="20" t="n"/>
      <c r="F35" s="20" t="n"/>
      <c r="G35" s="20" t="n"/>
      <c r="H35" s="13">
        <f>IF(AND(E35="",G35=""),"",N(G35)-N(E35))</f>
        <v/>
      </c>
      <c r="I35" s="14">
        <f>IF(OR(N(E35)=0,G35=""),"",H35/E35)</f>
        <v/>
      </c>
      <c r="J35" s="21" t="n"/>
    </row>
    <row r="36">
      <c r="B36" s="19" t="n"/>
      <c r="C36" s="21" t="n"/>
      <c r="D36" s="19" t="n"/>
      <c r="E36" s="20" t="n"/>
      <c r="F36" s="20" t="n"/>
      <c r="G36" s="20" t="n"/>
      <c r="H36" s="13">
        <f>IF(AND(E36="",G36=""),"",N(G36)-N(E36))</f>
        <v/>
      </c>
      <c r="I36" s="14">
        <f>IF(OR(N(E36)=0,G36=""),"",H36/E36)</f>
        <v/>
      </c>
      <c r="J36" s="21" t="n"/>
    </row>
    <row r="37">
      <c r="B37" s="19" t="n"/>
      <c r="C37" s="21" t="n"/>
      <c r="D37" s="19" t="n"/>
      <c r="E37" s="20" t="n"/>
      <c r="F37" s="20" t="n"/>
      <c r="G37" s="20" t="n"/>
      <c r="H37" s="13">
        <f>IF(AND(E37="",G37=""),"",N(G37)-N(E37))</f>
        <v/>
      </c>
      <c r="I37" s="14">
        <f>IF(OR(N(E37)=0,G37=""),"",H37/E37)</f>
        <v/>
      </c>
      <c r="J37" s="21" t="n"/>
    </row>
    <row r="38">
      <c r="B38" s="19" t="n"/>
      <c r="C38" s="21" t="n"/>
      <c r="D38" s="19" t="n"/>
      <c r="E38" s="20" t="n"/>
      <c r="F38" s="20" t="n"/>
      <c r="G38" s="20" t="n"/>
      <c r="H38" s="13">
        <f>IF(AND(E38="",G38=""),"",N(G38)-N(E38))</f>
        <v/>
      </c>
      <c r="I38" s="14">
        <f>IF(OR(N(E38)=0,G38=""),"",H38/E38)</f>
        <v/>
      </c>
      <c r="J38" s="21" t="n"/>
    </row>
    <row r="39">
      <c r="B39" s="15" t="inlineStr">
        <is>
          <t>Events total</t>
        </is>
      </c>
      <c r="C39" s="23" t="n"/>
      <c r="D39" s="23" t="n"/>
      <c r="E39" s="16">
        <f>SUM(E9:E38)</f>
        <v/>
      </c>
      <c r="F39" s="16">
        <f>SUM(F9:F38)</f>
        <v/>
      </c>
      <c r="G39" s="16">
        <f>SUM(G9:G38)</f>
        <v/>
      </c>
      <c r="H39" s="17">
        <f>G39-E39</f>
        <v/>
      </c>
      <c r="I39" s="18">
        <f>IF(E39=0,"",H39/E39)</f>
        <v/>
      </c>
      <c r="J39" s="23" t="n"/>
    </row>
  </sheetData>
  <autoFilter ref="B8:J38"/>
  <dataValidations count="1">
    <dataValidation sqref="B9:B38" showDropDown="0" showInputMessage="0" showErrorMessage="0" allowBlank="1" error="That isn't on the list. Keep it anyway?" type="list" errorStyle="information">
      <formula1>=Lists!$B$7:$B$16</formula1>
    </dataValidation>
  </dataValidations>
  <printOptions horizontalCentered="1"/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0094FF"/>
    <outlinePr summaryBelow="1" summaryRight="1"/>
    <pageSetUpPr fitToPage="1"/>
  </sheetPr>
  <dimension ref="A1:S39"/>
  <sheetViews>
    <sheetView showGridLines="0" zoomScale="10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8"/>
  <cols>
    <col width="2.5" customWidth="1" min="1" max="1"/>
    <col width="22" customWidth="1" min="2" max="2"/>
    <col width="32" customWidth="1" min="3" max="3"/>
    <col width="24" customWidth="1" min="4" max="4"/>
    <col width="14" customWidth="1" min="5" max="5"/>
    <col width="14" customWidth="1" min="6" max="6"/>
    <col width="14" customWidth="1" min="7" max="7"/>
    <col width="13" customWidth="1" min="8" max="8"/>
    <col width="12" customWidth="1" min="9" max="9"/>
    <col width="46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 ht="48" customHeight="1">
      <c r="A1" s="1" t="n"/>
      <c r="B1" s="2" t="inlineStr">
        <is>
          <t>Customer Advocacy · budget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6" customHeight="1"/>
    <row r="4">
      <c r="B4" s="4" t="inlineStr">
        <is>
          <t>Every line item for this function. Blue text on white is yours to fill in. Light-blue cells calculate; leave them as they are.</t>
        </is>
      </c>
    </row>
    <row r="6">
      <c r="B6" s="9" t="inlineStr">
        <is>
          <t>All values in USD. Years follow the plan year on the Summary tab.</t>
        </is>
      </c>
    </row>
    <row r="8" ht="34" customHeight="1">
      <c r="B8" s="10" t="inlineStr">
        <is>
          <t>Category</t>
        </is>
      </c>
      <c r="C8" s="10" t="inlineStr">
        <is>
          <t>Activity</t>
        </is>
      </c>
      <c r="D8" s="10" t="inlineStr">
        <is>
          <t>Vendor or partner</t>
        </is>
      </c>
      <c r="E8" s="10">
        <f>Summary!$C$6-1&amp;" budget"</f>
        <v/>
      </c>
      <c r="F8" s="10">
        <f>Summary!$C$6-1&amp;" actual"</f>
        <v/>
      </c>
      <c r="G8" s="10">
        <f>Summary!$C$6&amp;" budget"</f>
        <v/>
      </c>
      <c r="H8" s="10" t="inlineStr">
        <is>
          <t>Variance $</t>
        </is>
      </c>
      <c r="I8" s="10" t="inlineStr">
        <is>
          <t>Variance %</t>
        </is>
      </c>
      <c r="J8" s="10" t="inlineStr">
        <is>
          <t>Notes and assumptions</t>
        </is>
      </c>
    </row>
    <row r="9">
      <c r="B9" s="19" t="inlineStr">
        <is>
          <t>Agency &amp; services</t>
        </is>
      </c>
      <c r="C9" s="21" t="inlineStr">
        <is>
          <t>Customer video stories</t>
        </is>
      </c>
      <c r="D9" s="19" t="inlineStr">
        <is>
          <t>Video production partner</t>
        </is>
      </c>
      <c r="E9" s="20" t="n">
        <v>85000</v>
      </c>
      <c r="F9" s="20" t="n">
        <v>80000</v>
      </c>
      <c r="G9" s="20" t="n">
        <v>90000</v>
      </c>
      <c r="H9" s="13">
        <f>IF(AND(E9="",G9=""),"",N(G9)-N(E9))</f>
        <v/>
      </c>
      <c r="I9" s="14">
        <f>IF(OR(N(E9)=0,G9=""),"",H9/E9)</f>
        <v/>
      </c>
      <c r="J9" s="21" t="inlineStr">
        <is>
          <t>One video per region.</t>
        </is>
      </c>
    </row>
    <row r="10">
      <c r="B10" s="19" t="inlineStr">
        <is>
          <t>Customer events</t>
        </is>
      </c>
      <c r="C10" s="21" t="inlineStr">
        <is>
          <t>Advisory board dinners</t>
        </is>
      </c>
      <c r="D10" s="19" t="inlineStr">
        <is>
          <t>Various</t>
        </is>
      </c>
      <c r="E10" s="20" t="n">
        <v>40000</v>
      </c>
      <c r="F10" s="20" t="n">
        <v>36000</v>
      </c>
      <c r="G10" s="20" t="n">
        <v>48000</v>
      </c>
      <c r="H10" s="13">
        <f>IF(AND(E10="",G10=""),"",N(G10)-N(E10))</f>
        <v/>
      </c>
      <c r="I10" s="14">
        <f>IF(OR(N(E10)=0,G10=""),"",H10/E10)</f>
        <v/>
      </c>
      <c r="J10" s="21" t="inlineStr">
        <is>
          <t>Four dinners: two North America, one EMEA, one APAC.</t>
        </is>
      </c>
    </row>
    <row r="11">
      <c r="B11" s="19" t="inlineStr">
        <is>
          <t>Customer events</t>
        </is>
      </c>
      <c r="C11" s="21" t="inlineStr">
        <is>
          <t>User group meetups</t>
        </is>
      </c>
      <c r="D11" s="19" t="inlineStr">
        <is>
          <t>Various</t>
        </is>
      </c>
      <c r="E11" s="20" t="n">
        <v>25000</v>
      </c>
      <c r="F11" s="20" t="n">
        <v>21000</v>
      </c>
      <c r="G11" s="20" t="n">
        <v>30000</v>
      </c>
      <c r="H11" s="13">
        <f>IF(AND(E11="",G11=""),"",N(G11)-N(E11))</f>
        <v/>
      </c>
      <c r="I11" s="14">
        <f>IF(OR(N(E11)=0,G11=""),"",H11/E11)</f>
        <v/>
      </c>
      <c r="J11" s="21" t="n"/>
    </row>
    <row r="12">
      <c r="B12" s="19" t="inlineStr">
        <is>
          <t>Promo &amp; gifting</t>
        </is>
      </c>
      <c r="C12" s="21" t="inlineStr">
        <is>
          <t>Advocate rewards</t>
        </is>
      </c>
      <c r="D12" s="19" t="inlineStr">
        <is>
          <t>Gifting platform</t>
        </is>
      </c>
      <c r="E12" s="20" t="n">
        <v>18000</v>
      </c>
      <c r="F12" s="20" t="n">
        <v>16400</v>
      </c>
      <c r="G12" s="20" t="n">
        <v>20000</v>
      </c>
      <c r="H12" s="13">
        <f>IF(AND(E12="",G12=""),"",N(G12)-N(E12))</f>
        <v/>
      </c>
      <c r="I12" s="14">
        <f>IF(OR(N(E12)=0,G12=""),"",H12/E12)</f>
        <v/>
      </c>
      <c r="J12" s="21" t="n"/>
    </row>
    <row r="13">
      <c r="B13" s="19" t="inlineStr">
        <is>
          <t>Technology &amp; software</t>
        </is>
      </c>
      <c r="C13" s="21" t="inlineStr">
        <is>
          <t>Reference management platform</t>
        </is>
      </c>
      <c r="D13" s="19" t="inlineStr">
        <is>
          <t>Advocacy platform</t>
        </is>
      </c>
      <c r="E13" s="20" t="n">
        <v>32000</v>
      </c>
      <c r="F13" s="20" t="n">
        <v>32000</v>
      </c>
      <c r="G13" s="20" t="n">
        <v>33600</v>
      </c>
      <c r="H13" s="13">
        <f>IF(AND(E13="",G13=""),"",N(G13)-N(E13))</f>
        <v/>
      </c>
      <c r="I13" s="14">
        <f>IF(OR(N(E13)=0,G13=""),"",H13/E13)</f>
        <v/>
      </c>
      <c r="J13" s="21" t="inlineStr">
        <is>
          <t>3% renewal uplift.</t>
        </is>
      </c>
    </row>
    <row r="14">
      <c r="B14" s="19" t="n"/>
      <c r="C14" s="21" t="n"/>
      <c r="D14" s="19" t="n"/>
      <c r="E14" s="20" t="n"/>
      <c r="F14" s="20" t="n"/>
      <c r="G14" s="20" t="n"/>
      <c r="H14" s="13">
        <f>IF(AND(E14="",G14=""),"",N(G14)-N(E14))</f>
        <v/>
      </c>
      <c r="I14" s="14">
        <f>IF(OR(N(E14)=0,G14=""),"",H14/E14)</f>
        <v/>
      </c>
      <c r="J14" s="21" t="n"/>
    </row>
    <row r="15">
      <c r="B15" s="19" t="n"/>
      <c r="C15" s="21" t="n"/>
      <c r="D15" s="19" t="n"/>
      <c r="E15" s="20" t="n"/>
      <c r="F15" s="20" t="n"/>
      <c r="G15" s="20" t="n"/>
      <c r="H15" s="13">
        <f>IF(AND(E15="",G15=""),"",N(G15)-N(E15))</f>
        <v/>
      </c>
      <c r="I15" s="14">
        <f>IF(OR(N(E15)=0,G15=""),"",H15/E15)</f>
        <v/>
      </c>
      <c r="J15" s="21" t="n"/>
    </row>
    <row r="16">
      <c r="B16" s="19" t="n"/>
      <c r="C16" s="21" t="n"/>
      <c r="D16" s="19" t="n"/>
      <c r="E16" s="20" t="n"/>
      <c r="F16" s="20" t="n"/>
      <c r="G16" s="20" t="n"/>
      <c r="H16" s="13">
        <f>IF(AND(E16="",G16=""),"",N(G16)-N(E16))</f>
        <v/>
      </c>
      <c r="I16" s="14">
        <f>IF(OR(N(E16)=0,G16=""),"",H16/E16)</f>
        <v/>
      </c>
      <c r="J16" s="21" t="n"/>
    </row>
    <row r="17">
      <c r="B17" s="19" t="n"/>
      <c r="C17" s="21" t="n"/>
      <c r="D17" s="19" t="n"/>
      <c r="E17" s="20" t="n"/>
      <c r="F17" s="20" t="n"/>
      <c r="G17" s="20" t="n"/>
      <c r="H17" s="13">
        <f>IF(AND(E17="",G17=""),"",N(G17)-N(E17))</f>
        <v/>
      </c>
      <c r="I17" s="14">
        <f>IF(OR(N(E17)=0,G17=""),"",H17/E17)</f>
        <v/>
      </c>
      <c r="J17" s="21" t="n"/>
    </row>
    <row r="18">
      <c r="B18" s="19" t="n"/>
      <c r="C18" s="21" t="n"/>
      <c r="D18" s="19" t="n"/>
      <c r="E18" s="20" t="n"/>
      <c r="F18" s="20" t="n"/>
      <c r="G18" s="20" t="n"/>
      <c r="H18" s="13">
        <f>IF(AND(E18="",G18=""),"",N(G18)-N(E18))</f>
        <v/>
      </c>
      <c r="I18" s="14">
        <f>IF(OR(N(E18)=0,G18=""),"",H18/E18)</f>
        <v/>
      </c>
      <c r="J18" s="21" t="n"/>
    </row>
    <row r="19">
      <c r="B19" s="19" t="n"/>
      <c r="C19" s="21" t="n"/>
      <c r="D19" s="19" t="n"/>
      <c r="E19" s="20" t="n"/>
      <c r="F19" s="20" t="n"/>
      <c r="G19" s="20" t="n"/>
      <c r="H19" s="13">
        <f>IF(AND(E19="",G19=""),"",N(G19)-N(E19))</f>
        <v/>
      </c>
      <c r="I19" s="14">
        <f>IF(OR(N(E19)=0,G19=""),"",H19/E19)</f>
        <v/>
      </c>
      <c r="J19" s="21" t="n"/>
    </row>
    <row r="20">
      <c r="B20" s="19" t="n"/>
      <c r="C20" s="21" t="n"/>
      <c r="D20" s="19" t="n"/>
      <c r="E20" s="20" t="n"/>
      <c r="F20" s="20" t="n"/>
      <c r="G20" s="20" t="n"/>
      <c r="H20" s="13">
        <f>IF(AND(E20="",G20=""),"",N(G20)-N(E20))</f>
        <v/>
      </c>
      <c r="I20" s="14">
        <f>IF(OR(N(E20)=0,G20=""),"",H20/E20)</f>
        <v/>
      </c>
      <c r="J20" s="21" t="n"/>
    </row>
    <row r="21">
      <c r="B21" s="19" t="n"/>
      <c r="C21" s="21" t="n"/>
      <c r="D21" s="19" t="n"/>
      <c r="E21" s="20" t="n"/>
      <c r="F21" s="20" t="n"/>
      <c r="G21" s="20" t="n"/>
      <c r="H21" s="13">
        <f>IF(AND(E21="",G21=""),"",N(G21)-N(E21))</f>
        <v/>
      </c>
      <c r="I21" s="14">
        <f>IF(OR(N(E21)=0,G21=""),"",H21/E21)</f>
        <v/>
      </c>
      <c r="J21" s="21" t="n"/>
    </row>
    <row r="22">
      <c r="B22" s="19" t="n"/>
      <c r="C22" s="21" t="n"/>
      <c r="D22" s="19" t="n"/>
      <c r="E22" s="20" t="n"/>
      <c r="F22" s="20" t="n"/>
      <c r="G22" s="20" t="n"/>
      <c r="H22" s="13">
        <f>IF(AND(E22="",G22=""),"",N(G22)-N(E22))</f>
        <v/>
      </c>
      <c r="I22" s="14">
        <f>IF(OR(N(E22)=0,G22=""),"",H22/E22)</f>
        <v/>
      </c>
      <c r="J22" s="21" t="n"/>
    </row>
    <row r="23">
      <c r="B23" s="19" t="n"/>
      <c r="C23" s="21" t="n"/>
      <c r="D23" s="19" t="n"/>
      <c r="E23" s="20" t="n"/>
      <c r="F23" s="20" t="n"/>
      <c r="G23" s="20" t="n"/>
      <c r="H23" s="13">
        <f>IF(AND(E23="",G23=""),"",N(G23)-N(E23))</f>
        <v/>
      </c>
      <c r="I23" s="14">
        <f>IF(OR(N(E23)=0,G23=""),"",H23/E23)</f>
        <v/>
      </c>
      <c r="J23" s="21" t="n"/>
    </row>
    <row r="24">
      <c r="B24" s="19" t="n"/>
      <c r="C24" s="21" t="n"/>
      <c r="D24" s="19" t="n"/>
      <c r="E24" s="20" t="n"/>
      <c r="F24" s="20" t="n"/>
      <c r="G24" s="20" t="n"/>
      <c r="H24" s="13">
        <f>IF(AND(E24="",G24=""),"",N(G24)-N(E24))</f>
        <v/>
      </c>
      <c r="I24" s="14">
        <f>IF(OR(N(E24)=0,G24=""),"",H24/E24)</f>
        <v/>
      </c>
      <c r="J24" s="21" t="n"/>
    </row>
    <row r="25">
      <c r="B25" s="19" t="n"/>
      <c r="C25" s="21" t="n"/>
      <c r="D25" s="19" t="n"/>
      <c r="E25" s="20" t="n"/>
      <c r="F25" s="20" t="n"/>
      <c r="G25" s="20" t="n"/>
      <c r="H25" s="13">
        <f>IF(AND(E25="",G25=""),"",N(G25)-N(E25))</f>
        <v/>
      </c>
      <c r="I25" s="14">
        <f>IF(OR(N(E25)=0,G25=""),"",H25/E25)</f>
        <v/>
      </c>
      <c r="J25" s="21" t="n"/>
    </row>
    <row r="26">
      <c r="B26" s="19" t="n"/>
      <c r="C26" s="21" t="n"/>
      <c r="D26" s="19" t="n"/>
      <c r="E26" s="20" t="n"/>
      <c r="F26" s="20" t="n"/>
      <c r="G26" s="20" t="n"/>
      <c r="H26" s="13">
        <f>IF(AND(E26="",G26=""),"",N(G26)-N(E26))</f>
        <v/>
      </c>
      <c r="I26" s="14">
        <f>IF(OR(N(E26)=0,G26=""),"",H26/E26)</f>
        <v/>
      </c>
      <c r="J26" s="21" t="n"/>
    </row>
    <row r="27">
      <c r="B27" s="19" t="n"/>
      <c r="C27" s="21" t="n"/>
      <c r="D27" s="19" t="n"/>
      <c r="E27" s="20" t="n"/>
      <c r="F27" s="20" t="n"/>
      <c r="G27" s="20" t="n"/>
      <c r="H27" s="13">
        <f>IF(AND(E27="",G27=""),"",N(G27)-N(E27))</f>
        <v/>
      </c>
      <c r="I27" s="14">
        <f>IF(OR(N(E27)=0,G27=""),"",H27/E27)</f>
        <v/>
      </c>
      <c r="J27" s="21" t="n"/>
    </row>
    <row r="28">
      <c r="B28" s="19" t="n"/>
      <c r="C28" s="21" t="n"/>
      <c r="D28" s="19" t="n"/>
      <c r="E28" s="20" t="n"/>
      <c r="F28" s="20" t="n"/>
      <c r="G28" s="20" t="n"/>
      <c r="H28" s="13">
        <f>IF(AND(E28="",G28=""),"",N(G28)-N(E28))</f>
        <v/>
      </c>
      <c r="I28" s="14">
        <f>IF(OR(N(E28)=0,G28=""),"",H28/E28)</f>
        <v/>
      </c>
      <c r="J28" s="21" t="n"/>
    </row>
    <row r="29">
      <c r="B29" s="19" t="n"/>
      <c r="C29" s="21" t="n"/>
      <c r="D29" s="19" t="n"/>
      <c r="E29" s="20" t="n"/>
      <c r="F29" s="20" t="n"/>
      <c r="G29" s="20" t="n"/>
      <c r="H29" s="13">
        <f>IF(AND(E29="",G29=""),"",N(G29)-N(E29))</f>
        <v/>
      </c>
      <c r="I29" s="14">
        <f>IF(OR(N(E29)=0,G29=""),"",H29/E29)</f>
        <v/>
      </c>
      <c r="J29" s="21" t="n"/>
    </row>
    <row r="30">
      <c r="B30" s="19" t="n"/>
      <c r="C30" s="21" t="n"/>
      <c r="D30" s="19" t="n"/>
      <c r="E30" s="20" t="n"/>
      <c r="F30" s="20" t="n"/>
      <c r="G30" s="20" t="n"/>
      <c r="H30" s="13">
        <f>IF(AND(E30="",G30=""),"",N(G30)-N(E30))</f>
        <v/>
      </c>
      <c r="I30" s="14">
        <f>IF(OR(N(E30)=0,G30=""),"",H30/E30)</f>
        <v/>
      </c>
      <c r="J30" s="21" t="n"/>
    </row>
    <row r="31">
      <c r="B31" s="19" t="n"/>
      <c r="C31" s="21" t="n"/>
      <c r="D31" s="19" t="n"/>
      <c r="E31" s="20" t="n"/>
      <c r="F31" s="20" t="n"/>
      <c r="G31" s="20" t="n"/>
      <c r="H31" s="13">
        <f>IF(AND(E31="",G31=""),"",N(G31)-N(E31))</f>
        <v/>
      </c>
      <c r="I31" s="14">
        <f>IF(OR(N(E31)=0,G31=""),"",H31/E31)</f>
        <v/>
      </c>
      <c r="J31" s="21" t="n"/>
    </row>
    <row r="32">
      <c r="B32" s="19" t="n"/>
      <c r="C32" s="21" t="n"/>
      <c r="D32" s="19" t="n"/>
      <c r="E32" s="20" t="n"/>
      <c r="F32" s="20" t="n"/>
      <c r="G32" s="20" t="n"/>
      <c r="H32" s="13">
        <f>IF(AND(E32="",G32=""),"",N(G32)-N(E32))</f>
        <v/>
      </c>
      <c r="I32" s="14">
        <f>IF(OR(N(E32)=0,G32=""),"",H32/E32)</f>
        <v/>
      </c>
      <c r="J32" s="21" t="n"/>
    </row>
    <row r="33">
      <c r="B33" s="19" t="n"/>
      <c r="C33" s="21" t="n"/>
      <c r="D33" s="19" t="n"/>
      <c r="E33" s="20" t="n"/>
      <c r="F33" s="20" t="n"/>
      <c r="G33" s="20" t="n"/>
      <c r="H33" s="13">
        <f>IF(AND(E33="",G33=""),"",N(G33)-N(E33))</f>
        <v/>
      </c>
      <c r="I33" s="14">
        <f>IF(OR(N(E33)=0,G33=""),"",H33/E33)</f>
        <v/>
      </c>
      <c r="J33" s="21" t="n"/>
    </row>
    <row r="34">
      <c r="B34" s="19" t="n"/>
      <c r="C34" s="21" t="n"/>
      <c r="D34" s="19" t="n"/>
      <c r="E34" s="20" t="n"/>
      <c r="F34" s="20" t="n"/>
      <c r="G34" s="20" t="n"/>
      <c r="H34" s="13">
        <f>IF(AND(E34="",G34=""),"",N(G34)-N(E34))</f>
        <v/>
      </c>
      <c r="I34" s="14">
        <f>IF(OR(N(E34)=0,G34=""),"",H34/E34)</f>
        <v/>
      </c>
      <c r="J34" s="21" t="n"/>
    </row>
    <row r="35">
      <c r="B35" s="19" t="n"/>
      <c r="C35" s="21" t="n"/>
      <c r="D35" s="19" t="n"/>
      <c r="E35" s="20" t="n"/>
      <c r="F35" s="20" t="n"/>
      <c r="G35" s="20" t="n"/>
      <c r="H35" s="13">
        <f>IF(AND(E35="",G35=""),"",N(G35)-N(E35))</f>
        <v/>
      </c>
      <c r="I35" s="14">
        <f>IF(OR(N(E35)=0,G35=""),"",H35/E35)</f>
        <v/>
      </c>
      <c r="J35" s="21" t="n"/>
    </row>
    <row r="36">
      <c r="B36" s="19" t="n"/>
      <c r="C36" s="21" t="n"/>
      <c r="D36" s="19" t="n"/>
      <c r="E36" s="20" t="n"/>
      <c r="F36" s="20" t="n"/>
      <c r="G36" s="20" t="n"/>
      <c r="H36" s="13">
        <f>IF(AND(E36="",G36=""),"",N(G36)-N(E36))</f>
        <v/>
      </c>
      <c r="I36" s="14">
        <f>IF(OR(N(E36)=0,G36=""),"",H36/E36)</f>
        <v/>
      </c>
      <c r="J36" s="21" t="n"/>
    </row>
    <row r="37">
      <c r="B37" s="19" t="n"/>
      <c r="C37" s="21" t="n"/>
      <c r="D37" s="19" t="n"/>
      <c r="E37" s="20" t="n"/>
      <c r="F37" s="20" t="n"/>
      <c r="G37" s="20" t="n"/>
      <c r="H37" s="13">
        <f>IF(AND(E37="",G37=""),"",N(G37)-N(E37))</f>
        <v/>
      </c>
      <c r="I37" s="14">
        <f>IF(OR(N(E37)=0,G37=""),"",H37/E37)</f>
        <v/>
      </c>
      <c r="J37" s="21" t="n"/>
    </row>
    <row r="38">
      <c r="B38" s="19" t="n"/>
      <c r="C38" s="21" t="n"/>
      <c r="D38" s="19" t="n"/>
      <c r="E38" s="20" t="n"/>
      <c r="F38" s="20" t="n"/>
      <c r="G38" s="20" t="n"/>
      <c r="H38" s="13">
        <f>IF(AND(E38="",G38=""),"",N(G38)-N(E38))</f>
        <v/>
      </c>
      <c r="I38" s="14">
        <f>IF(OR(N(E38)=0,G38=""),"",H38/E38)</f>
        <v/>
      </c>
      <c r="J38" s="21" t="n"/>
    </row>
    <row r="39">
      <c r="B39" s="15" t="inlineStr">
        <is>
          <t>Customer Advocacy total</t>
        </is>
      </c>
      <c r="C39" s="23" t="n"/>
      <c r="D39" s="23" t="n"/>
      <c r="E39" s="16">
        <f>SUM(E9:E38)</f>
        <v/>
      </c>
      <c r="F39" s="16">
        <f>SUM(F9:F38)</f>
        <v/>
      </c>
      <c r="G39" s="16">
        <f>SUM(G9:G38)</f>
        <v/>
      </c>
      <c r="H39" s="17">
        <f>G39-E39</f>
        <v/>
      </c>
      <c r="I39" s="18">
        <f>IF(E39=0,"",H39/E39)</f>
        <v/>
      </c>
      <c r="J39" s="23" t="n"/>
    </row>
  </sheetData>
  <autoFilter ref="B8:J38"/>
  <dataValidations count="1">
    <dataValidation sqref="B9:B38" showDropDown="0" showInputMessage="0" showErrorMessage="0" allowBlank="1" error="That isn't on the list. Keep it anyway?" type="list" errorStyle="information">
      <formula1>=Lists!$B$7:$B$16</formula1>
    </dataValidation>
  </dataValidations>
  <printOptions horizontalCentered="1"/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0094FF"/>
    <outlinePr summaryBelow="1" summaryRight="1"/>
    <pageSetUpPr fitToPage="1"/>
  </sheetPr>
  <dimension ref="A1:S39"/>
  <sheetViews>
    <sheetView showGridLines="0" zoomScale="10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8"/>
  <cols>
    <col width="2.5" customWidth="1" min="1" max="1"/>
    <col width="22" customWidth="1" min="2" max="2"/>
    <col width="32" customWidth="1" min="3" max="3"/>
    <col width="24" customWidth="1" min="4" max="4"/>
    <col width="14" customWidth="1" min="5" max="5"/>
    <col width="14" customWidth="1" min="6" max="6"/>
    <col width="14" customWidth="1" min="7" max="7"/>
    <col width="13" customWidth="1" min="8" max="8"/>
    <col width="12" customWidth="1" min="9" max="9"/>
    <col width="46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 ht="48" customHeight="1">
      <c r="A1" s="1" t="n"/>
      <c r="B1" s="2" t="inlineStr">
        <is>
          <t>Public Relations · budget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6" customHeight="1"/>
    <row r="4">
      <c r="B4" s="4" t="inlineStr">
        <is>
          <t>Every line item for this function. Blue text on white is yours to fill in. Light-blue cells calculate; leave them as they are.</t>
        </is>
      </c>
    </row>
    <row r="6">
      <c r="B6" s="9" t="inlineStr">
        <is>
          <t>All values in USD. Years follow the plan year on the Summary tab.</t>
        </is>
      </c>
    </row>
    <row r="8" ht="34" customHeight="1">
      <c r="B8" s="10" t="inlineStr">
        <is>
          <t>Category</t>
        </is>
      </c>
      <c r="C8" s="10" t="inlineStr">
        <is>
          <t>Activity</t>
        </is>
      </c>
      <c r="D8" s="10" t="inlineStr">
        <is>
          <t>Vendor or partner</t>
        </is>
      </c>
      <c r="E8" s="10">
        <f>Summary!$C$6-1&amp;" budget"</f>
        <v/>
      </c>
      <c r="F8" s="10">
        <f>Summary!$C$6-1&amp;" actual"</f>
        <v/>
      </c>
      <c r="G8" s="10">
        <f>Summary!$C$6&amp;" budget"</f>
        <v/>
      </c>
      <c r="H8" s="10" t="inlineStr">
        <is>
          <t>Variance $</t>
        </is>
      </c>
      <c r="I8" s="10" t="inlineStr">
        <is>
          <t>Variance %</t>
        </is>
      </c>
      <c r="J8" s="10" t="inlineStr">
        <is>
          <t>Notes and assumptions</t>
        </is>
      </c>
    </row>
    <row r="9">
      <c r="B9" s="19" t="inlineStr">
        <is>
          <t>Agency &amp; services</t>
        </is>
      </c>
      <c r="C9" s="21" t="inlineStr">
        <is>
          <t>PR agency retainer, global</t>
        </is>
      </c>
      <c r="D9" s="19" t="inlineStr">
        <is>
          <t>PR agency</t>
        </is>
      </c>
      <c r="E9" s="20" t="n">
        <v>240000</v>
      </c>
      <c r="F9" s="20" t="n">
        <v>240000</v>
      </c>
      <c r="G9" s="20" t="n">
        <v>252000</v>
      </c>
      <c r="H9" s="13">
        <f>IF(AND(E9="",G9=""),"",N(G9)-N(E9))</f>
        <v/>
      </c>
      <c r="I9" s="14">
        <f>IF(OR(N(E9)=0,G9=""),"",H9/E9)</f>
        <v/>
      </c>
      <c r="J9" s="21" t="n"/>
    </row>
    <row r="10">
      <c r="B10" s="19" t="inlineStr">
        <is>
          <t>Agency &amp; services</t>
        </is>
      </c>
      <c r="C10" s="21" t="inlineStr">
        <is>
          <t>Media monitoring</t>
        </is>
      </c>
      <c r="D10" s="19" t="inlineStr">
        <is>
          <t>Monitoring service</t>
        </is>
      </c>
      <c r="E10" s="20" t="n">
        <v>22000</v>
      </c>
      <c r="F10" s="20" t="n">
        <v>22000</v>
      </c>
      <c r="G10" s="20" t="n">
        <v>23000</v>
      </c>
      <c r="H10" s="13">
        <f>IF(AND(E10="",G10=""),"",N(G10)-N(E10))</f>
        <v/>
      </c>
      <c r="I10" s="14">
        <f>IF(OR(N(E10)=0,G10=""),"",H10/E10)</f>
        <v/>
      </c>
      <c r="J10" s="21" t="n"/>
    </row>
    <row r="11">
      <c r="B11" s="19" t="inlineStr">
        <is>
          <t>Research &amp; analyst</t>
        </is>
      </c>
      <c r="C11" s="21" t="inlineStr">
        <is>
          <t>Analyst relations program</t>
        </is>
      </c>
      <c r="D11" s="19" t="inlineStr">
        <is>
          <t>Analyst firm</t>
        </is>
      </c>
      <c r="E11" s="20" t="n">
        <v>95000</v>
      </c>
      <c r="F11" s="20" t="n">
        <v>95000</v>
      </c>
      <c r="G11" s="20" t="n">
        <v>98000</v>
      </c>
      <c r="H11" s="13">
        <f>IF(AND(E11="",G11=""),"",N(G11)-N(E11))</f>
        <v/>
      </c>
      <c r="I11" s="14">
        <f>IF(OR(N(E11)=0,G11=""),"",H11/E11)</f>
        <v/>
      </c>
      <c r="J11" s="21" t="n"/>
    </row>
    <row r="12">
      <c r="B12" s="19" t="inlineStr">
        <is>
          <t>Agency &amp; services</t>
        </is>
      </c>
      <c r="C12" s="21" t="inlineStr">
        <is>
          <t>Award entries</t>
        </is>
      </c>
      <c r="D12" s="19" t="inlineStr">
        <is>
          <t>Various</t>
        </is>
      </c>
      <c r="E12" s="20" t="n">
        <v>8000</v>
      </c>
      <c r="F12" s="20" t="n">
        <v>6500</v>
      </c>
      <c r="G12" s="20" t="n">
        <v>10000</v>
      </c>
      <c r="H12" s="13">
        <f>IF(AND(E12="",G12=""),"",N(G12)-N(E12))</f>
        <v/>
      </c>
      <c r="I12" s="14">
        <f>IF(OR(N(E12)=0,G12=""),"",H12/E12)</f>
        <v/>
      </c>
      <c r="J12" s="21" t="n"/>
    </row>
    <row r="13">
      <c r="B13" s="19" t="n"/>
      <c r="C13" s="21" t="n"/>
      <c r="D13" s="19" t="n"/>
      <c r="E13" s="20" t="n"/>
      <c r="F13" s="20" t="n"/>
      <c r="G13" s="20" t="n"/>
      <c r="H13" s="13">
        <f>IF(AND(E13="",G13=""),"",N(G13)-N(E13))</f>
        <v/>
      </c>
      <c r="I13" s="14">
        <f>IF(OR(N(E13)=0,G13=""),"",H13/E13)</f>
        <v/>
      </c>
      <c r="J13" s="21" t="n"/>
    </row>
    <row r="14">
      <c r="B14" s="19" t="n"/>
      <c r="C14" s="21" t="n"/>
      <c r="D14" s="19" t="n"/>
      <c r="E14" s="20" t="n"/>
      <c r="F14" s="20" t="n"/>
      <c r="G14" s="20" t="n"/>
      <c r="H14" s="13">
        <f>IF(AND(E14="",G14=""),"",N(G14)-N(E14))</f>
        <v/>
      </c>
      <c r="I14" s="14">
        <f>IF(OR(N(E14)=0,G14=""),"",H14/E14)</f>
        <v/>
      </c>
      <c r="J14" s="21" t="n"/>
    </row>
    <row r="15">
      <c r="B15" s="19" t="n"/>
      <c r="C15" s="21" t="n"/>
      <c r="D15" s="19" t="n"/>
      <c r="E15" s="20" t="n"/>
      <c r="F15" s="20" t="n"/>
      <c r="G15" s="20" t="n"/>
      <c r="H15" s="13">
        <f>IF(AND(E15="",G15=""),"",N(G15)-N(E15))</f>
        <v/>
      </c>
      <c r="I15" s="14">
        <f>IF(OR(N(E15)=0,G15=""),"",H15/E15)</f>
        <v/>
      </c>
      <c r="J15" s="21" t="n"/>
    </row>
    <row r="16">
      <c r="B16" s="19" t="n"/>
      <c r="C16" s="21" t="n"/>
      <c r="D16" s="19" t="n"/>
      <c r="E16" s="20" t="n"/>
      <c r="F16" s="20" t="n"/>
      <c r="G16" s="20" t="n"/>
      <c r="H16" s="13">
        <f>IF(AND(E16="",G16=""),"",N(G16)-N(E16))</f>
        <v/>
      </c>
      <c r="I16" s="14">
        <f>IF(OR(N(E16)=0,G16=""),"",H16/E16)</f>
        <v/>
      </c>
      <c r="J16" s="21" t="n"/>
    </row>
    <row r="17">
      <c r="B17" s="19" t="n"/>
      <c r="C17" s="21" t="n"/>
      <c r="D17" s="19" t="n"/>
      <c r="E17" s="20" t="n"/>
      <c r="F17" s="20" t="n"/>
      <c r="G17" s="20" t="n"/>
      <c r="H17" s="13">
        <f>IF(AND(E17="",G17=""),"",N(G17)-N(E17))</f>
        <v/>
      </c>
      <c r="I17" s="14">
        <f>IF(OR(N(E17)=0,G17=""),"",H17/E17)</f>
        <v/>
      </c>
      <c r="J17" s="21" t="n"/>
    </row>
    <row r="18">
      <c r="B18" s="19" t="n"/>
      <c r="C18" s="21" t="n"/>
      <c r="D18" s="19" t="n"/>
      <c r="E18" s="20" t="n"/>
      <c r="F18" s="20" t="n"/>
      <c r="G18" s="20" t="n"/>
      <c r="H18" s="13">
        <f>IF(AND(E18="",G18=""),"",N(G18)-N(E18))</f>
        <v/>
      </c>
      <c r="I18" s="14">
        <f>IF(OR(N(E18)=0,G18=""),"",H18/E18)</f>
        <v/>
      </c>
      <c r="J18" s="21" t="n"/>
    </row>
    <row r="19">
      <c r="B19" s="19" t="n"/>
      <c r="C19" s="21" t="n"/>
      <c r="D19" s="19" t="n"/>
      <c r="E19" s="20" t="n"/>
      <c r="F19" s="20" t="n"/>
      <c r="G19" s="20" t="n"/>
      <c r="H19" s="13">
        <f>IF(AND(E19="",G19=""),"",N(G19)-N(E19))</f>
        <v/>
      </c>
      <c r="I19" s="14">
        <f>IF(OR(N(E19)=0,G19=""),"",H19/E19)</f>
        <v/>
      </c>
      <c r="J19" s="21" t="n"/>
    </row>
    <row r="20">
      <c r="B20" s="19" t="n"/>
      <c r="C20" s="21" t="n"/>
      <c r="D20" s="19" t="n"/>
      <c r="E20" s="20" t="n"/>
      <c r="F20" s="20" t="n"/>
      <c r="G20" s="20" t="n"/>
      <c r="H20" s="13">
        <f>IF(AND(E20="",G20=""),"",N(G20)-N(E20))</f>
        <v/>
      </c>
      <c r="I20" s="14">
        <f>IF(OR(N(E20)=0,G20=""),"",H20/E20)</f>
        <v/>
      </c>
      <c r="J20" s="21" t="n"/>
    </row>
    <row r="21">
      <c r="B21" s="19" t="n"/>
      <c r="C21" s="21" t="n"/>
      <c r="D21" s="19" t="n"/>
      <c r="E21" s="20" t="n"/>
      <c r="F21" s="20" t="n"/>
      <c r="G21" s="20" t="n"/>
      <c r="H21" s="13">
        <f>IF(AND(E21="",G21=""),"",N(G21)-N(E21))</f>
        <v/>
      </c>
      <c r="I21" s="14">
        <f>IF(OR(N(E21)=0,G21=""),"",H21/E21)</f>
        <v/>
      </c>
      <c r="J21" s="21" t="n"/>
    </row>
    <row r="22">
      <c r="B22" s="19" t="n"/>
      <c r="C22" s="21" t="n"/>
      <c r="D22" s="19" t="n"/>
      <c r="E22" s="20" t="n"/>
      <c r="F22" s="20" t="n"/>
      <c r="G22" s="20" t="n"/>
      <c r="H22" s="13">
        <f>IF(AND(E22="",G22=""),"",N(G22)-N(E22))</f>
        <v/>
      </c>
      <c r="I22" s="14">
        <f>IF(OR(N(E22)=0,G22=""),"",H22/E22)</f>
        <v/>
      </c>
      <c r="J22" s="21" t="n"/>
    </row>
    <row r="23">
      <c r="B23" s="19" t="n"/>
      <c r="C23" s="21" t="n"/>
      <c r="D23" s="19" t="n"/>
      <c r="E23" s="20" t="n"/>
      <c r="F23" s="20" t="n"/>
      <c r="G23" s="20" t="n"/>
      <c r="H23" s="13">
        <f>IF(AND(E23="",G23=""),"",N(G23)-N(E23))</f>
        <v/>
      </c>
      <c r="I23" s="14">
        <f>IF(OR(N(E23)=0,G23=""),"",H23/E23)</f>
        <v/>
      </c>
      <c r="J23" s="21" t="n"/>
    </row>
    <row r="24">
      <c r="B24" s="19" t="n"/>
      <c r="C24" s="21" t="n"/>
      <c r="D24" s="19" t="n"/>
      <c r="E24" s="20" t="n"/>
      <c r="F24" s="20" t="n"/>
      <c r="G24" s="20" t="n"/>
      <c r="H24" s="13">
        <f>IF(AND(E24="",G24=""),"",N(G24)-N(E24))</f>
        <v/>
      </c>
      <c r="I24" s="14">
        <f>IF(OR(N(E24)=0,G24=""),"",H24/E24)</f>
        <v/>
      </c>
      <c r="J24" s="21" t="n"/>
    </row>
    <row r="25">
      <c r="B25" s="19" t="n"/>
      <c r="C25" s="21" t="n"/>
      <c r="D25" s="19" t="n"/>
      <c r="E25" s="20" t="n"/>
      <c r="F25" s="20" t="n"/>
      <c r="G25" s="20" t="n"/>
      <c r="H25" s="13">
        <f>IF(AND(E25="",G25=""),"",N(G25)-N(E25))</f>
        <v/>
      </c>
      <c r="I25" s="14">
        <f>IF(OR(N(E25)=0,G25=""),"",H25/E25)</f>
        <v/>
      </c>
      <c r="J25" s="21" t="n"/>
    </row>
    <row r="26">
      <c r="B26" s="19" t="n"/>
      <c r="C26" s="21" t="n"/>
      <c r="D26" s="19" t="n"/>
      <c r="E26" s="20" t="n"/>
      <c r="F26" s="20" t="n"/>
      <c r="G26" s="20" t="n"/>
      <c r="H26" s="13">
        <f>IF(AND(E26="",G26=""),"",N(G26)-N(E26))</f>
        <v/>
      </c>
      <c r="I26" s="14">
        <f>IF(OR(N(E26)=0,G26=""),"",H26/E26)</f>
        <v/>
      </c>
      <c r="J26" s="21" t="n"/>
    </row>
    <row r="27">
      <c r="B27" s="19" t="n"/>
      <c r="C27" s="21" t="n"/>
      <c r="D27" s="19" t="n"/>
      <c r="E27" s="20" t="n"/>
      <c r="F27" s="20" t="n"/>
      <c r="G27" s="20" t="n"/>
      <c r="H27" s="13">
        <f>IF(AND(E27="",G27=""),"",N(G27)-N(E27))</f>
        <v/>
      </c>
      <c r="I27" s="14">
        <f>IF(OR(N(E27)=0,G27=""),"",H27/E27)</f>
        <v/>
      </c>
      <c r="J27" s="21" t="n"/>
    </row>
    <row r="28">
      <c r="B28" s="19" t="n"/>
      <c r="C28" s="21" t="n"/>
      <c r="D28" s="19" t="n"/>
      <c r="E28" s="20" t="n"/>
      <c r="F28" s="20" t="n"/>
      <c r="G28" s="20" t="n"/>
      <c r="H28" s="13">
        <f>IF(AND(E28="",G28=""),"",N(G28)-N(E28))</f>
        <v/>
      </c>
      <c r="I28" s="14">
        <f>IF(OR(N(E28)=0,G28=""),"",H28/E28)</f>
        <v/>
      </c>
      <c r="J28" s="21" t="n"/>
    </row>
    <row r="29">
      <c r="B29" s="19" t="n"/>
      <c r="C29" s="21" t="n"/>
      <c r="D29" s="19" t="n"/>
      <c r="E29" s="20" t="n"/>
      <c r="F29" s="20" t="n"/>
      <c r="G29" s="20" t="n"/>
      <c r="H29" s="13">
        <f>IF(AND(E29="",G29=""),"",N(G29)-N(E29))</f>
        <v/>
      </c>
      <c r="I29" s="14">
        <f>IF(OR(N(E29)=0,G29=""),"",H29/E29)</f>
        <v/>
      </c>
      <c r="J29" s="21" t="n"/>
    </row>
    <row r="30">
      <c r="B30" s="19" t="n"/>
      <c r="C30" s="21" t="n"/>
      <c r="D30" s="19" t="n"/>
      <c r="E30" s="20" t="n"/>
      <c r="F30" s="20" t="n"/>
      <c r="G30" s="20" t="n"/>
      <c r="H30" s="13">
        <f>IF(AND(E30="",G30=""),"",N(G30)-N(E30))</f>
        <v/>
      </c>
      <c r="I30" s="14">
        <f>IF(OR(N(E30)=0,G30=""),"",H30/E30)</f>
        <v/>
      </c>
      <c r="J30" s="21" t="n"/>
    </row>
    <row r="31">
      <c r="B31" s="19" t="n"/>
      <c r="C31" s="21" t="n"/>
      <c r="D31" s="19" t="n"/>
      <c r="E31" s="20" t="n"/>
      <c r="F31" s="20" t="n"/>
      <c r="G31" s="20" t="n"/>
      <c r="H31" s="13">
        <f>IF(AND(E31="",G31=""),"",N(G31)-N(E31))</f>
        <v/>
      </c>
      <c r="I31" s="14">
        <f>IF(OR(N(E31)=0,G31=""),"",H31/E31)</f>
        <v/>
      </c>
      <c r="J31" s="21" t="n"/>
    </row>
    <row r="32">
      <c r="B32" s="19" t="n"/>
      <c r="C32" s="21" t="n"/>
      <c r="D32" s="19" t="n"/>
      <c r="E32" s="20" t="n"/>
      <c r="F32" s="20" t="n"/>
      <c r="G32" s="20" t="n"/>
      <c r="H32" s="13">
        <f>IF(AND(E32="",G32=""),"",N(G32)-N(E32))</f>
        <v/>
      </c>
      <c r="I32" s="14">
        <f>IF(OR(N(E32)=0,G32=""),"",H32/E32)</f>
        <v/>
      </c>
      <c r="J32" s="21" t="n"/>
    </row>
    <row r="33">
      <c r="B33" s="19" t="n"/>
      <c r="C33" s="21" t="n"/>
      <c r="D33" s="19" t="n"/>
      <c r="E33" s="20" t="n"/>
      <c r="F33" s="20" t="n"/>
      <c r="G33" s="20" t="n"/>
      <c r="H33" s="13">
        <f>IF(AND(E33="",G33=""),"",N(G33)-N(E33))</f>
        <v/>
      </c>
      <c r="I33" s="14">
        <f>IF(OR(N(E33)=0,G33=""),"",H33/E33)</f>
        <v/>
      </c>
      <c r="J33" s="21" t="n"/>
    </row>
    <row r="34">
      <c r="B34" s="19" t="n"/>
      <c r="C34" s="21" t="n"/>
      <c r="D34" s="19" t="n"/>
      <c r="E34" s="20" t="n"/>
      <c r="F34" s="20" t="n"/>
      <c r="G34" s="20" t="n"/>
      <c r="H34" s="13">
        <f>IF(AND(E34="",G34=""),"",N(G34)-N(E34))</f>
        <v/>
      </c>
      <c r="I34" s="14">
        <f>IF(OR(N(E34)=0,G34=""),"",H34/E34)</f>
        <v/>
      </c>
      <c r="J34" s="21" t="n"/>
    </row>
    <row r="35">
      <c r="B35" s="19" t="n"/>
      <c r="C35" s="21" t="n"/>
      <c r="D35" s="19" t="n"/>
      <c r="E35" s="20" t="n"/>
      <c r="F35" s="20" t="n"/>
      <c r="G35" s="20" t="n"/>
      <c r="H35" s="13">
        <f>IF(AND(E35="",G35=""),"",N(G35)-N(E35))</f>
        <v/>
      </c>
      <c r="I35" s="14">
        <f>IF(OR(N(E35)=0,G35=""),"",H35/E35)</f>
        <v/>
      </c>
      <c r="J35" s="21" t="n"/>
    </row>
    <row r="36">
      <c r="B36" s="19" t="n"/>
      <c r="C36" s="21" t="n"/>
      <c r="D36" s="19" t="n"/>
      <c r="E36" s="20" t="n"/>
      <c r="F36" s="20" t="n"/>
      <c r="G36" s="20" t="n"/>
      <c r="H36" s="13">
        <f>IF(AND(E36="",G36=""),"",N(G36)-N(E36))</f>
        <v/>
      </c>
      <c r="I36" s="14">
        <f>IF(OR(N(E36)=0,G36=""),"",H36/E36)</f>
        <v/>
      </c>
      <c r="J36" s="21" t="n"/>
    </row>
    <row r="37">
      <c r="B37" s="19" t="n"/>
      <c r="C37" s="21" t="n"/>
      <c r="D37" s="19" t="n"/>
      <c r="E37" s="20" t="n"/>
      <c r="F37" s="20" t="n"/>
      <c r="G37" s="20" t="n"/>
      <c r="H37" s="13">
        <f>IF(AND(E37="",G37=""),"",N(G37)-N(E37))</f>
        <v/>
      </c>
      <c r="I37" s="14">
        <f>IF(OR(N(E37)=0,G37=""),"",H37/E37)</f>
        <v/>
      </c>
      <c r="J37" s="21" t="n"/>
    </row>
    <row r="38">
      <c r="B38" s="19" t="n"/>
      <c r="C38" s="21" t="n"/>
      <c r="D38" s="19" t="n"/>
      <c r="E38" s="20" t="n"/>
      <c r="F38" s="20" t="n"/>
      <c r="G38" s="20" t="n"/>
      <c r="H38" s="13">
        <f>IF(AND(E38="",G38=""),"",N(G38)-N(E38))</f>
        <v/>
      </c>
      <c r="I38" s="14">
        <f>IF(OR(N(E38)=0,G38=""),"",H38/E38)</f>
        <v/>
      </c>
      <c r="J38" s="21" t="n"/>
    </row>
    <row r="39">
      <c r="B39" s="15" t="inlineStr">
        <is>
          <t>Public Relations total</t>
        </is>
      </c>
      <c r="C39" s="23" t="n"/>
      <c r="D39" s="23" t="n"/>
      <c r="E39" s="16">
        <f>SUM(E9:E38)</f>
        <v/>
      </c>
      <c r="F39" s="16">
        <f>SUM(F9:F38)</f>
        <v/>
      </c>
      <c r="G39" s="16">
        <f>SUM(G9:G38)</f>
        <v/>
      </c>
      <c r="H39" s="17">
        <f>G39-E39</f>
        <v/>
      </c>
      <c r="I39" s="18">
        <f>IF(E39=0,"",H39/E39)</f>
        <v/>
      </c>
      <c r="J39" s="23" t="n"/>
    </row>
  </sheetData>
  <autoFilter ref="B8:J38"/>
  <dataValidations count="1">
    <dataValidation sqref="B9:B38" showDropDown="0" showInputMessage="0" showErrorMessage="0" allowBlank="1" error="That isn't on the list. Keep it anyway?" type="list" errorStyle="information">
      <formula1>=Lists!$B$7:$B$16</formula1>
    </dataValidation>
  </dataValidations>
  <printOptions horizontalCentered="1"/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0094FF"/>
    <outlinePr summaryBelow="1" summaryRight="1"/>
    <pageSetUpPr fitToPage="1"/>
  </sheetPr>
  <dimension ref="A1:S39"/>
  <sheetViews>
    <sheetView showGridLines="0" zoomScale="10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8"/>
  <cols>
    <col width="2.5" customWidth="1" min="1" max="1"/>
    <col width="22" customWidth="1" min="2" max="2"/>
    <col width="32" customWidth="1" min="3" max="3"/>
    <col width="24" customWidth="1" min="4" max="4"/>
    <col width="14" customWidth="1" min="5" max="5"/>
    <col width="14" customWidth="1" min="6" max="6"/>
    <col width="14" customWidth="1" min="7" max="7"/>
    <col width="13" customWidth="1" min="8" max="8"/>
    <col width="12" customWidth="1" min="9" max="9"/>
    <col width="46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 ht="48" customHeight="1">
      <c r="A1" s="1" t="n"/>
      <c r="B1" s="2" t="inlineStr">
        <is>
          <t>Technology · budget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6" customHeight="1"/>
    <row r="4">
      <c r="B4" s="4" t="inlineStr">
        <is>
          <t>Every line item for this function. Blue text on white is yours to fill in. Light-blue cells calculate; leave them as they are.</t>
        </is>
      </c>
    </row>
    <row r="6">
      <c r="B6" s="9" t="inlineStr">
        <is>
          <t>All values in USD. Years follow the plan year on the Summary tab.</t>
        </is>
      </c>
    </row>
    <row r="8" ht="34" customHeight="1">
      <c r="B8" s="10" t="inlineStr">
        <is>
          <t>Category</t>
        </is>
      </c>
      <c r="C8" s="10" t="inlineStr">
        <is>
          <t>Activity</t>
        </is>
      </c>
      <c r="D8" s="10" t="inlineStr">
        <is>
          <t>Vendor or partner</t>
        </is>
      </c>
      <c r="E8" s="10">
        <f>Summary!$C$6-1&amp;" budget"</f>
        <v/>
      </c>
      <c r="F8" s="10">
        <f>Summary!$C$6-1&amp;" actual"</f>
        <v/>
      </c>
      <c r="G8" s="10">
        <f>Summary!$C$6&amp;" budget"</f>
        <v/>
      </c>
      <c r="H8" s="10" t="inlineStr">
        <is>
          <t>Variance $</t>
        </is>
      </c>
      <c r="I8" s="10" t="inlineStr">
        <is>
          <t>Variance %</t>
        </is>
      </c>
      <c r="J8" s="10" t="inlineStr">
        <is>
          <t>Notes and assumptions</t>
        </is>
      </c>
    </row>
    <row r="9">
      <c r="B9" s="19" t="inlineStr">
        <is>
          <t>Technology &amp; software</t>
        </is>
      </c>
      <c r="C9" s="21" t="inlineStr">
        <is>
          <t>Website hosting</t>
        </is>
      </c>
      <c r="D9" s="19" t="inlineStr">
        <is>
          <t>Managed host</t>
        </is>
      </c>
      <c r="E9" s="20" t="n">
        <v>36000</v>
      </c>
      <c r="F9" s="20" t="n">
        <v>36000</v>
      </c>
      <c r="G9" s="20" t="n">
        <v>38000</v>
      </c>
      <c r="H9" s="13">
        <f>IF(AND(E9="",G9=""),"",N(G9)-N(E9))</f>
        <v/>
      </c>
      <c r="I9" s="14">
        <f>IF(OR(N(E9)=0,G9=""),"",H9/E9)</f>
        <v/>
      </c>
      <c r="J9" s="21" t="n"/>
    </row>
    <row r="10">
      <c r="B10" s="19" t="inlineStr">
        <is>
          <t>Technology &amp; software</t>
        </is>
      </c>
      <c r="C10" s="21" t="inlineStr">
        <is>
          <t>Content management system</t>
        </is>
      </c>
      <c r="D10" s="19" t="inlineStr">
        <is>
          <t>CMS vendor</t>
        </is>
      </c>
      <c r="E10" s="20" t="n">
        <v>48000</v>
      </c>
      <c r="F10" s="20" t="n">
        <v>48000</v>
      </c>
      <c r="G10" s="20" t="n">
        <v>50000</v>
      </c>
      <c r="H10" s="13">
        <f>IF(AND(E10="",G10=""),"",N(G10)-N(E10))</f>
        <v/>
      </c>
      <c r="I10" s="14">
        <f>IF(OR(N(E10)=0,G10=""),"",H10/E10)</f>
        <v/>
      </c>
      <c r="J10" s="21" t="n"/>
    </row>
    <row r="11">
      <c r="B11" s="19" t="inlineStr">
        <is>
          <t>Technology &amp; software</t>
        </is>
      </c>
      <c r="C11" s="21" t="inlineStr">
        <is>
          <t>SEO and analytics suite</t>
        </is>
      </c>
      <c r="D11" s="19" t="inlineStr">
        <is>
          <t>SEO platform</t>
        </is>
      </c>
      <c r="E11" s="20" t="n">
        <v>30000</v>
      </c>
      <c r="F11" s="20" t="n">
        <v>30000</v>
      </c>
      <c r="G11" s="20" t="n">
        <v>31500</v>
      </c>
      <c r="H11" s="13">
        <f>IF(AND(E11="",G11=""),"",N(G11)-N(E11))</f>
        <v/>
      </c>
      <c r="I11" s="14">
        <f>IF(OR(N(E11)=0,G11=""),"",H11/E11)</f>
        <v/>
      </c>
      <c r="J11" s="21" t="n"/>
    </row>
    <row r="12">
      <c r="B12" s="19" t="inlineStr">
        <is>
          <t>Technology &amp; software</t>
        </is>
      </c>
      <c r="C12" s="21" t="inlineStr">
        <is>
          <t>Social media management</t>
        </is>
      </c>
      <c r="D12" s="19" t="inlineStr">
        <is>
          <t>Social platform</t>
        </is>
      </c>
      <c r="E12" s="20" t="n">
        <v>24000</v>
      </c>
      <c r="F12" s="20" t="n">
        <v>24000</v>
      </c>
      <c r="G12" s="20" t="n">
        <v>25200</v>
      </c>
      <c r="H12" s="13">
        <f>IF(AND(E12="",G12=""),"",N(G12)-N(E12))</f>
        <v/>
      </c>
      <c r="I12" s="14">
        <f>IF(OR(N(E12)=0,G12=""),"",H12/E12)</f>
        <v/>
      </c>
      <c r="J12" s="21" t="n"/>
    </row>
    <row r="13">
      <c r="B13" s="19" t="inlineStr">
        <is>
          <t>Technology &amp; software</t>
        </is>
      </c>
      <c r="C13" s="21" t="inlineStr">
        <is>
          <t>Design software seats</t>
        </is>
      </c>
      <c r="D13" s="19" t="inlineStr">
        <is>
          <t>Design suite</t>
        </is>
      </c>
      <c r="E13" s="20" t="n">
        <v>18000</v>
      </c>
      <c r="F13" s="20" t="n">
        <v>19200</v>
      </c>
      <c r="G13" s="20" t="n">
        <v>21000</v>
      </c>
      <c r="H13" s="13">
        <f>IF(AND(E13="",G13=""),"",N(G13)-N(E13))</f>
        <v/>
      </c>
      <c r="I13" s="14">
        <f>IF(OR(N(E13)=0,G13=""),"",H13/E13)</f>
        <v/>
      </c>
      <c r="J13" s="21" t="inlineStr">
        <is>
          <t>Adds two seats.</t>
        </is>
      </c>
    </row>
    <row r="14">
      <c r="B14" s="19" t="inlineStr">
        <is>
          <t>Technology &amp; software</t>
        </is>
      </c>
      <c r="C14" s="21" t="inlineStr">
        <is>
          <t>Digital asset management</t>
        </is>
      </c>
      <c r="D14" s="19" t="inlineStr">
        <is>
          <t>DAM vendor</t>
        </is>
      </c>
      <c r="E14" s="20" t="n">
        <v>40000</v>
      </c>
      <c r="F14" s="20" t="n">
        <v>40000</v>
      </c>
      <c r="G14" s="20" t="n">
        <v>42000</v>
      </c>
      <c r="H14" s="13">
        <f>IF(AND(E14="",G14=""),"",N(G14)-N(E14))</f>
        <v/>
      </c>
      <c r="I14" s="14">
        <f>IF(OR(N(E14)=0,G14=""),"",H14/E14)</f>
        <v/>
      </c>
      <c r="J14" s="21" t="n"/>
    </row>
    <row r="15">
      <c r="B15" s="19" t="inlineStr">
        <is>
          <t>Technology &amp; software</t>
        </is>
      </c>
      <c r="C15" s="21" t="inlineStr">
        <is>
          <t>Video hosting</t>
        </is>
      </c>
      <c r="D15" s="19" t="inlineStr">
        <is>
          <t>Video platform</t>
        </is>
      </c>
      <c r="E15" s="20" t="n">
        <v>15000</v>
      </c>
      <c r="F15" s="20" t="n">
        <v>15000</v>
      </c>
      <c r="G15" s="20" t="n">
        <v>15000</v>
      </c>
      <c r="H15" s="13">
        <f>IF(AND(E15="",G15=""),"",N(G15)-N(E15))</f>
        <v/>
      </c>
      <c r="I15" s="14">
        <f>IF(OR(N(E15)=0,G15=""),"",H15/E15)</f>
        <v/>
      </c>
      <c r="J15" s="21" t="n"/>
    </row>
    <row r="16">
      <c r="B16" s="19" t="n"/>
      <c r="C16" s="21" t="n"/>
      <c r="D16" s="19" t="n"/>
      <c r="E16" s="20" t="n"/>
      <c r="F16" s="20" t="n"/>
      <c r="G16" s="20" t="n"/>
      <c r="H16" s="13">
        <f>IF(AND(E16="",G16=""),"",N(G16)-N(E16))</f>
        <v/>
      </c>
      <c r="I16" s="14">
        <f>IF(OR(N(E16)=0,G16=""),"",H16/E16)</f>
        <v/>
      </c>
      <c r="J16" s="21" t="n"/>
    </row>
    <row r="17">
      <c r="B17" s="19" t="n"/>
      <c r="C17" s="21" t="n"/>
      <c r="D17" s="19" t="n"/>
      <c r="E17" s="20" t="n"/>
      <c r="F17" s="20" t="n"/>
      <c r="G17" s="20" t="n"/>
      <c r="H17" s="13">
        <f>IF(AND(E17="",G17=""),"",N(G17)-N(E17))</f>
        <v/>
      </c>
      <c r="I17" s="14">
        <f>IF(OR(N(E17)=0,G17=""),"",H17/E17)</f>
        <v/>
      </c>
      <c r="J17" s="21" t="n"/>
    </row>
    <row r="18">
      <c r="B18" s="19" t="n"/>
      <c r="C18" s="21" t="n"/>
      <c r="D18" s="19" t="n"/>
      <c r="E18" s="20" t="n"/>
      <c r="F18" s="20" t="n"/>
      <c r="G18" s="20" t="n"/>
      <c r="H18" s="13">
        <f>IF(AND(E18="",G18=""),"",N(G18)-N(E18))</f>
        <v/>
      </c>
      <c r="I18" s="14">
        <f>IF(OR(N(E18)=0,G18=""),"",H18/E18)</f>
        <v/>
      </c>
      <c r="J18" s="21" t="n"/>
    </row>
    <row r="19">
      <c r="B19" s="19" t="n"/>
      <c r="C19" s="21" t="n"/>
      <c r="D19" s="19" t="n"/>
      <c r="E19" s="20" t="n"/>
      <c r="F19" s="20" t="n"/>
      <c r="G19" s="20" t="n"/>
      <c r="H19" s="13">
        <f>IF(AND(E19="",G19=""),"",N(G19)-N(E19))</f>
        <v/>
      </c>
      <c r="I19" s="14">
        <f>IF(OR(N(E19)=0,G19=""),"",H19/E19)</f>
        <v/>
      </c>
      <c r="J19" s="21" t="n"/>
    </row>
    <row r="20">
      <c r="B20" s="19" t="n"/>
      <c r="C20" s="21" t="n"/>
      <c r="D20" s="19" t="n"/>
      <c r="E20" s="20" t="n"/>
      <c r="F20" s="20" t="n"/>
      <c r="G20" s="20" t="n"/>
      <c r="H20" s="13">
        <f>IF(AND(E20="",G20=""),"",N(G20)-N(E20))</f>
        <v/>
      </c>
      <c r="I20" s="14">
        <f>IF(OR(N(E20)=0,G20=""),"",H20/E20)</f>
        <v/>
      </c>
      <c r="J20" s="21" t="n"/>
    </row>
    <row r="21">
      <c r="B21" s="19" t="n"/>
      <c r="C21" s="21" t="n"/>
      <c r="D21" s="19" t="n"/>
      <c r="E21" s="20" t="n"/>
      <c r="F21" s="20" t="n"/>
      <c r="G21" s="20" t="n"/>
      <c r="H21" s="13">
        <f>IF(AND(E21="",G21=""),"",N(G21)-N(E21))</f>
        <v/>
      </c>
      <c r="I21" s="14">
        <f>IF(OR(N(E21)=0,G21=""),"",H21/E21)</f>
        <v/>
      </c>
      <c r="J21" s="21" t="n"/>
    </row>
    <row r="22">
      <c r="B22" s="19" t="n"/>
      <c r="C22" s="21" t="n"/>
      <c r="D22" s="19" t="n"/>
      <c r="E22" s="20" t="n"/>
      <c r="F22" s="20" t="n"/>
      <c r="G22" s="20" t="n"/>
      <c r="H22" s="13">
        <f>IF(AND(E22="",G22=""),"",N(G22)-N(E22))</f>
        <v/>
      </c>
      <c r="I22" s="14">
        <f>IF(OR(N(E22)=0,G22=""),"",H22/E22)</f>
        <v/>
      </c>
      <c r="J22" s="21" t="n"/>
    </row>
    <row r="23">
      <c r="B23" s="19" t="n"/>
      <c r="C23" s="21" t="n"/>
      <c r="D23" s="19" t="n"/>
      <c r="E23" s="20" t="n"/>
      <c r="F23" s="20" t="n"/>
      <c r="G23" s="20" t="n"/>
      <c r="H23" s="13">
        <f>IF(AND(E23="",G23=""),"",N(G23)-N(E23))</f>
        <v/>
      </c>
      <c r="I23" s="14">
        <f>IF(OR(N(E23)=0,G23=""),"",H23/E23)</f>
        <v/>
      </c>
      <c r="J23" s="21" t="n"/>
    </row>
    <row r="24">
      <c r="B24" s="19" t="n"/>
      <c r="C24" s="21" t="n"/>
      <c r="D24" s="19" t="n"/>
      <c r="E24" s="20" t="n"/>
      <c r="F24" s="20" t="n"/>
      <c r="G24" s="20" t="n"/>
      <c r="H24" s="13">
        <f>IF(AND(E24="",G24=""),"",N(G24)-N(E24))</f>
        <v/>
      </c>
      <c r="I24" s="14">
        <f>IF(OR(N(E24)=0,G24=""),"",H24/E24)</f>
        <v/>
      </c>
      <c r="J24" s="21" t="n"/>
    </row>
    <row r="25">
      <c r="B25" s="19" t="n"/>
      <c r="C25" s="21" t="n"/>
      <c r="D25" s="19" t="n"/>
      <c r="E25" s="20" t="n"/>
      <c r="F25" s="20" t="n"/>
      <c r="G25" s="20" t="n"/>
      <c r="H25" s="13">
        <f>IF(AND(E25="",G25=""),"",N(G25)-N(E25))</f>
        <v/>
      </c>
      <c r="I25" s="14">
        <f>IF(OR(N(E25)=0,G25=""),"",H25/E25)</f>
        <v/>
      </c>
      <c r="J25" s="21" t="n"/>
    </row>
    <row r="26">
      <c r="B26" s="19" t="n"/>
      <c r="C26" s="21" t="n"/>
      <c r="D26" s="19" t="n"/>
      <c r="E26" s="20" t="n"/>
      <c r="F26" s="20" t="n"/>
      <c r="G26" s="20" t="n"/>
      <c r="H26" s="13">
        <f>IF(AND(E26="",G26=""),"",N(G26)-N(E26))</f>
        <v/>
      </c>
      <c r="I26" s="14">
        <f>IF(OR(N(E26)=0,G26=""),"",H26/E26)</f>
        <v/>
      </c>
      <c r="J26" s="21" t="n"/>
    </row>
    <row r="27">
      <c r="B27" s="19" t="n"/>
      <c r="C27" s="21" t="n"/>
      <c r="D27" s="19" t="n"/>
      <c r="E27" s="20" t="n"/>
      <c r="F27" s="20" t="n"/>
      <c r="G27" s="20" t="n"/>
      <c r="H27" s="13">
        <f>IF(AND(E27="",G27=""),"",N(G27)-N(E27))</f>
        <v/>
      </c>
      <c r="I27" s="14">
        <f>IF(OR(N(E27)=0,G27=""),"",H27/E27)</f>
        <v/>
      </c>
      <c r="J27" s="21" t="n"/>
    </row>
    <row r="28">
      <c r="B28" s="19" t="n"/>
      <c r="C28" s="21" t="n"/>
      <c r="D28" s="19" t="n"/>
      <c r="E28" s="20" t="n"/>
      <c r="F28" s="20" t="n"/>
      <c r="G28" s="20" t="n"/>
      <c r="H28" s="13">
        <f>IF(AND(E28="",G28=""),"",N(G28)-N(E28))</f>
        <v/>
      </c>
      <c r="I28" s="14">
        <f>IF(OR(N(E28)=0,G28=""),"",H28/E28)</f>
        <v/>
      </c>
      <c r="J28" s="21" t="n"/>
    </row>
    <row r="29">
      <c r="B29" s="19" t="n"/>
      <c r="C29" s="21" t="n"/>
      <c r="D29" s="19" t="n"/>
      <c r="E29" s="20" t="n"/>
      <c r="F29" s="20" t="n"/>
      <c r="G29" s="20" t="n"/>
      <c r="H29" s="13">
        <f>IF(AND(E29="",G29=""),"",N(G29)-N(E29))</f>
        <v/>
      </c>
      <c r="I29" s="14">
        <f>IF(OR(N(E29)=0,G29=""),"",H29/E29)</f>
        <v/>
      </c>
      <c r="J29" s="21" t="n"/>
    </row>
    <row r="30">
      <c r="B30" s="19" t="n"/>
      <c r="C30" s="21" t="n"/>
      <c r="D30" s="19" t="n"/>
      <c r="E30" s="20" t="n"/>
      <c r="F30" s="20" t="n"/>
      <c r="G30" s="20" t="n"/>
      <c r="H30" s="13">
        <f>IF(AND(E30="",G30=""),"",N(G30)-N(E30))</f>
        <v/>
      </c>
      <c r="I30" s="14">
        <f>IF(OR(N(E30)=0,G30=""),"",H30/E30)</f>
        <v/>
      </c>
      <c r="J30" s="21" t="n"/>
    </row>
    <row r="31">
      <c r="B31" s="19" t="n"/>
      <c r="C31" s="21" t="n"/>
      <c r="D31" s="19" t="n"/>
      <c r="E31" s="20" t="n"/>
      <c r="F31" s="20" t="n"/>
      <c r="G31" s="20" t="n"/>
      <c r="H31" s="13">
        <f>IF(AND(E31="",G31=""),"",N(G31)-N(E31))</f>
        <v/>
      </c>
      <c r="I31" s="14">
        <f>IF(OR(N(E31)=0,G31=""),"",H31/E31)</f>
        <v/>
      </c>
      <c r="J31" s="21" t="n"/>
    </row>
    <row r="32">
      <c r="B32" s="19" t="n"/>
      <c r="C32" s="21" t="n"/>
      <c r="D32" s="19" t="n"/>
      <c r="E32" s="20" t="n"/>
      <c r="F32" s="20" t="n"/>
      <c r="G32" s="20" t="n"/>
      <c r="H32" s="13">
        <f>IF(AND(E32="",G32=""),"",N(G32)-N(E32))</f>
        <v/>
      </c>
      <c r="I32" s="14">
        <f>IF(OR(N(E32)=0,G32=""),"",H32/E32)</f>
        <v/>
      </c>
      <c r="J32" s="21" t="n"/>
    </row>
    <row r="33">
      <c r="B33" s="19" t="n"/>
      <c r="C33" s="21" t="n"/>
      <c r="D33" s="19" t="n"/>
      <c r="E33" s="20" t="n"/>
      <c r="F33" s="20" t="n"/>
      <c r="G33" s="20" t="n"/>
      <c r="H33" s="13">
        <f>IF(AND(E33="",G33=""),"",N(G33)-N(E33))</f>
        <v/>
      </c>
      <c r="I33" s="14">
        <f>IF(OR(N(E33)=0,G33=""),"",H33/E33)</f>
        <v/>
      </c>
      <c r="J33" s="21" t="n"/>
    </row>
    <row r="34">
      <c r="B34" s="19" t="n"/>
      <c r="C34" s="21" t="n"/>
      <c r="D34" s="19" t="n"/>
      <c r="E34" s="20" t="n"/>
      <c r="F34" s="20" t="n"/>
      <c r="G34" s="20" t="n"/>
      <c r="H34" s="13">
        <f>IF(AND(E34="",G34=""),"",N(G34)-N(E34))</f>
        <v/>
      </c>
      <c r="I34" s="14">
        <f>IF(OR(N(E34)=0,G34=""),"",H34/E34)</f>
        <v/>
      </c>
      <c r="J34" s="21" t="n"/>
    </row>
    <row r="35">
      <c r="B35" s="19" t="n"/>
      <c r="C35" s="21" t="n"/>
      <c r="D35" s="19" t="n"/>
      <c r="E35" s="20" t="n"/>
      <c r="F35" s="20" t="n"/>
      <c r="G35" s="20" t="n"/>
      <c r="H35" s="13">
        <f>IF(AND(E35="",G35=""),"",N(G35)-N(E35))</f>
        <v/>
      </c>
      <c r="I35" s="14">
        <f>IF(OR(N(E35)=0,G35=""),"",H35/E35)</f>
        <v/>
      </c>
      <c r="J35" s="21" t="n"/>
    </row>
    <row r="36">
      <c r="B36" s="19" t="n"/>
      <c r="C36" s="21" t="n"/>
      <c r="D36" s="19" t="n"/>
      <c r="E36" s="20" t="n"/>
      <c r="F36" s="20" t="n"/>
      <c r="G36" s="20" t="n"/>
      <c r="H36" s="13">
        <f>IF(AND(E36="",G36=""),"",N(G36)-N(E36))</f>
        <v/>
      </c>
      <c r="I36" s="14">
        <f>IF(OR(N(E36)=0,G36=""),"",H36/E36)</f>
        <v/>
      </c>
      <c r="J36" s="21" t="n"/>
    </row>
    <row r="37">
      <c r="B37" s="19" t="n"/>
      <c r="C37" s="21" t="n"/>
      <c r="D37" s="19" t="n"/>
      <c r="E37" s="20" t="n"/>
      <c r="F37" s="20" t="n"/>
      <c r="G37" s="20" t="n"/>
      <c r="H37" s="13">
        <f>IF(AND(E37="",G37=""),"",N(G37)-N(E37))</f>
        <v/>
      </c>
      <c r="I37" s="14">
        <f>IF(OR(N(E37)=0,G37=""),"",H37/E37)</f>
        <v/>
      </c>
      <c r="J37" s="21" t="n"/>
    </row>
    <row r="38">
      <c r="B38" s="19" t="n"/>
      <c r="C38" s="21" t="n"/>
      <c r="D38" s="19" t="n"/>
      <c r="E38" s="20" t="n"/>
      <c r="F38" s="20" t="n"/>
      <c r="G38" s="20" t="n"/>
      <c r="H38" s="13">
        <f>IF(AND(E38="",G38=""),"",N(G38)-N(E38))</f>
        <v/>
      </c>
      <c r="I38" s="14">
        <f>IF(OR(N(E38)=0,G38=""),"",H38/E38)</f>
        <v/>
      </c>
      <c r="J38" s="21" t="n"/>
    </row>
    <row r="39">
      <c r="B39" s="15" t="inlineStr">
        <is>
          <t>Technology total</t>
        </is>
      </c>
      <c r="C39" s="23" t="n"/>
      <c r="D39" s="23" t="n"/>
      <c r="E39" s="16">
        <f>SUM(E9:E38)</f>
        <v/>
      </c>
      <c r="F39" s="16">
        <f>SUM(F9:F38)</f>
        <v/>
      </c>
      <c r="G39" s="16">
        <f>SUM(G9:G38)</f>
        <v/>
      </c>
      <c r="H39" s="17">
        <f>G39-E39</f>
        <v/>
      </c>
      <c r="I39" s="18">
        <f>IF(E39=0,"",H39/E39)</f>
        <v/>
      </c>
      <c r="J39" s="23" t="n"/>
    </row>
  </sheetData>
  <autoFilter ref="B8:J38"/>
  <dataValidations count="1">
    <dataValidation sqref="B9:B38" showDropDown="0" showInputMessage="0" showErrorMessage="0" allowBlank="1" error="That isn't on the list. Keep it anyway?" type="list" errorStyle="information">
      <formula1>=Lists!$B$7:$B$16</formula1>
    </dataValidation>
  </dataValidations>
  <printOptions horizontalCentered="1"/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0E2030"/>
    <outlinePr summaryBelow="1" summaryRight="1"/>
    <pageSetUpPr fitToPage="1"/>
  </sheetPr>
  <dimension ref="A1:S16"/>
  <sheetViews>
    <sheetView showGridLines="0" zoomScale="100" workbookViewId="0">
      <selection activeCell="A1" sqref="A1"/>
    </sheetView>
  </sheetViews>
  <sheetFormatPr baseColWidth="8" defaultRowHeight="18"/>
  <cols>
    <col width="2.5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 ht="48" customHeight="1">
      <c r="A1" s="1" t="n"/>
      <c r="B1" s="2" t="inlineStr">
        <is>
          <t>Lists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6" customHeight="1"/>
    <row r="4">
      <c r="B4" s="4" t="inlineStr">
        <is>
          <t>The choices behind the drop-downs. Add or rename items here.</t>
        </is>
      </c>
    </row>
    <row r="6" ht="22" customHeight="1">
      <c r="B6" s="10" t="inlineStr">
        <is>
          <t>Budget category</t>
        </is>
      </c>
    </row>
    <row r="7">
      <c r="B7" s="19" t="inlineStr">
        <is>
          <t>Agency &amp; services</t>
        </is>
      </c>
    </row>
    <row r="8">
      <c r="B8" s="19" t="inlineStr">
        <is>
          <t>Paid media</t>
        </is>
      </c>
    </row>
    <row r="9">
      <c r="B9" s="19" t="inlineStr">
        <is>
          <t>Content production</t>
        </is>
      </c>
    </row>
    <row r="10">
      <c r="B10" s="19" t="inlineStr">
        <is>
          <t>Events</t>
        </is>
      </c>
    </row>
    <row r="11">
      <c r="B11" s="19" t="inlineStr">
        <is>
          <t>Customer events</t>
        </is>
      </c>
    </row>
    <row r="12">
      <c r="B12" s="19" t="inlineStr">
        <is>
          <t>Promo &amp; gifting</t>
        </is>
      </c>
    </row>
    <row r="13">
      <c r="B13" s="19" t="inlineStr">
        <is>
          <t>Research &amp; analyst</t>
        </is>
      </c>
    </row>
    <row r="14">
      <c r="B14" s="19" t="inlineStr">
        <is>
          <t>Technology &amp; software</t>
        </is>
      </c>
    </row>
    <row r="15">
      <c r="B15" s="19" t="inlineStr">
        <is>
          <t>Travel</t>
        </is>
      </c>
    </row>
    <row r="16">
      <c r="B16" s="19" t="inlineStr">
        <is>
          <t>Other</t>
        </is>
      </c>
    </row>
  </sheetData>
  <printOptions horizontalCentered="1"/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2026-10-16T17:24:49Z</dcterms:created>
  <dcterms:modified xmlns:dcterms="http://purl.org/dc/terms/" xmlns:xsi="http://www.w3.org/2001/XMLSchema-instance" xsi:type="dcterms:W3CDTF">2026-10-16T17:24:50Z</dcterms:modified>
</cp:coreProperties>
</file>