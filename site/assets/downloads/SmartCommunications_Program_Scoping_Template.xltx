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Decisions" sheetId="3" state="visible" r:id="rId3"/>
    <sheet xmlns:r="http://schemas.openxmlformats.org/officeDocument/2006/relationships" name="Dependencies" sheetId="4" state="visible" r:id="rId4"/>
    <sheet xmlns:r="http://schemas.openxmlformats.org/officeDocument/2006/relationships" name="Marketing" sheetId="5" state="visible" r:id="rId5"/>
    <sheet xmlns:r="http://schemas.openxmlformats.org/officeDocument/2006/relationships" name="Product" sheetId="6" state="visible" r:id="rId6"/>
    <sheet xmlns:r="http://schemas.openxmlformats.org/officeDocument/2006/relationships" name="Engineering" sheetId="7" state="visible" r:id="rId7"/>
    <sheet xmlns:r="http://schemas.openxmlformats.org/officeDocument/2006/relationships" name="IT &amp; Security" sheetId="8" state="visible" r:id="rId8"/>
    <sheet xmlns:r="http://schemas.openxmlformats.org/officeDocument/2006/relationships" name="Legal &amp; Privacy" sheetId="9" state="visible" r:id="rId9"/>
    <sheet xmlns:r="http://schemas.openxmlformats.org/officeDocument/2006/relationships" name="Sales Enablement" sheetId="10" state="visible" r:id="rId10"/>
    <sheet xmlns:r="http://schemas.openxmlformats.org/officeDocument/2006/relationships" name="Sales &amp; RevOps" sheetId="11" state="visible" r:id="rId11"/>
    <sheet xmlns:r="http://schemas.openxmlformats.org/officeDocument/2006/relationships" name="Customer Success" sheetId="12" state="visible" r:id="rId12"/>
    <sheet xmlns:r="http://schemas.openxmlformats.org/officeDocument/2006/relationships" name="Professional Services" sheetId="13" state="visible" r:id="rId13"/>
    <sheet xmlns:r="http://schemas.openxmlformats.org/officeDocument/2006/relationships" name="Customer Support" sheetId="14" state="visible" r:id="rId14"/>
    <sheet xmlns:r="http://schemas.openxmlformats.org/officeDocument/2006/relationships" name="Pre-Sales" sheetId="15" state="visible" r:id="rId15"/>
    <sheet xmlns:r="http://schemas.openxmlformats.org/officeDocument/2006/relationships" name="Partners" sheetId="16" state="visible" r:id="rId16"/>
    <sheet xmlns:r="http://schemas.openxmlformats.org/officeDocument/2006/relationships" name="HR" sheetId="17" state="visible" r:id="rId17"/>
    <sheet xmlns:r="http://schemas.openxmlformats.org/officeDocument/2006/relationships" name="Finance &amp; Procurement" sheetId="18" state="visible" r:id="rId18"/>
    <sheet xmlns:r="http://schemas.openxmlformats.org/officeDocument/2006/relationships" name="Executive &amp; Strategy" sheetId="19" state="visible" r:id="rId19"/>
    <sheet xmlns:r="http://schemas.openxmlformats.org/officeDocument/2006/relationships" name="Lists" sheetId="20" state="visible" r:id="rId20"/>
  </sheets>
  <definedNames>
    <definedName name="_xlnm._FilterDatabase" localSheetId="4" hidden="1">'Marketing'!$B$9:$AH$69</definedName>
    <definedName name="_xlnm._FilterDatabase" localSheetId="5" hidden="1">'Product'!$B$9:$AH$69</definedName>
    <definedName name="_xlnm._FilterDatabase" localSheetId="6" hidden="1">'Engineering'!$B$9:$AH$69</definedName>
    <definedName name="_xlnm._FilterDatabase" localSheetId="7" hidden="1">'IT &amp; Security'!$B$9:$AH$69</definedName>
    <definedName name="_xlnm._FilterDatabase" localSheetId="8" hidden="1">'Legal &amp; Privacy'!$B$9:$AH$69</definedName>
    <definedName name="_xlnm._FilterDatabase" localSheetId="9" hidden="1">'Sales Enablement'!$B$9:$AH$69</definedName>
    <definedName name="_xlnm._FilterDatabase" localSheetId="10" hidden="1">'Sales &amp; RevOps'!$B$9:$AH$69</definedName>
    <definedName name="_xlnm._FilterDatabase" localSheetId="11" hidden="1">'Customer Success'!$B$9:$AH$69</definedName>
    <definedName name="_xlnm._FilterDatabase" localSheetId="12" hidden="1">'Professional Services'!$B$9:$AH$69</definedName>
    <definedName name="_xlnm._FilterDatabase" localSheetId="13" hidden="1">'Customer Support'!$B$9:$AH$69</definedName>
    <definedName name="_xlnm._FilterDatabase" localSheetId="14" hidden="1">'Pre-Sales'!$B$9:$AH$69</definedName>
    <definedName name="_xlnm._FilterDatabase" localSheetId="15" hidden="1">'Partners'!$B$9:$AH$69</definedName>
    <definedName name="_xlnm._FilterDatabase" localSheetId="16" hidden="1">'HR'!$B$9:$AH$69</definedName>
    <definedName name="_xlnm._FilterDatabase" localSheetId="17" hidden="1">'Finance &amp; Procurement'!$B$9:$AH$69</definedName>
    <definedName name="_xlnm._FilterDatabase" localSheetId="18" hidden="1">'Executive &amp; Strategy'!$B$9:$AH$69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$#,##0;-$#,##0;&quot;–&quot;"/>
    <numFmt numFmtId="165" formatCode="#,##0.0"/>
    <numFmt numFmtId="166" formatCode="d mmm yyyy"/>
    <numFmt numFmtId="167" formatCode="0.0#"/>
    <numFmt numFmtId="168" formatCode="0.0"/>
    <numFmt numFmtId="169" formatCode="$#,##0"/>
  </numFmts>
  <fonts count="13">
    <font>
      <name val="Segoe UI"/>
      <family val="2"/>
      <color rgb="00183958"/>
      <sz val="11"/>
      <scheme val="minor"/>
    </font>
    <font>
      <name val="Segoe UI"/>
      <color rgb="00183958"/>
      <sz val="11"/>
    </font>
    <font>
      <name val="Segoe UI"/>
      <b val="1"/>
      <color rgb="00FFFFFF"/>
      <sz val="16"/>
    </font>
    <font>
      <name val="Segoe UI"/>
      <b val="1"/>
      <color rgb="000E2030"/>
      <sz val="13"/>
    </font>
    <font>
      <name val="Segoe UI"/>
      <color rgb="000A3184"/>
      <sz val="11"/>
    </font>
    <font>
      <name val="Segoe UI"/>
      <b val="1"/>
      <color rgb="00677C91"/>
      <sz val="10"/>
    </font>
    <font>
      <name val="Segoe UI"/>
      <color rgb="000E2030"/>
      <sz val="22"/>
    </font>
    <font>
      <name val="Segoe UI"/>
      <b val="1"/>
      <color rgb="00FFFFFF"/>
      <sz val="11"/>
    </font>
    <font>
      <name val="Segoe UI"/>
      <b val="1"/>
      <color rgb="000E2030"/>
      <sz val="11"/>
    </font>
    <font>
      <name val="Segoe UI"/>
      <color rgb="00677C91"/>
      <sz val="10"/>
    </font>
    <font>
      <name val="Segoe UI"/>
      <b val="1"/>
      <color rgb="000A3184"/>
      <sz val="12"/>
    </font>
    <font>
      <name val="Segoe UI"/>
      <b val="1"/>
      <color rgb="00FFFFFF"/>
      <sz val="10"/>
    </font>
    <font>
      <name val="Segoe UI"/>
      <b val="1"/>
      <color rgb="00183958"/>
      <sz val="11"/>
    </font>
  </fonts>
  <fills count="7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E0E9F2"/>
      </patternFill>
    </fill>
    <fill>
      <patternFill patternType="solid">
        <fgColor rgb="000E2030"/>
      </patternFill>
    </fill>
    <fill>
      <patternFill patternType="solid">
        <fgColor rgb="00183958"/>
      </patternFill>
    </fill>
  </fills>
  <borders count="8">
    <border>
      <left/>
      <right/>
      <top/>
      <bottom/>
      <diagonal/>
    </border>
    <border>
      <bottom style="thin">
        <color rgb="00D0DEEC"/>
      </bottom>
    </border>
    <border>
      <left style="thick">
        <color rgb="000094FF"/>
      </left>
    </border>
    <border/>
    <border>
      <left style="thin">
        <color rgb="00FFFFFF"/>
      </left>
    </border>
    <border>
      <left style="thin">
        <color rgb="00FFFFFF"/>
      </left>
      <bottom style="thin">
        <color rgb="00D0DEEC"/>
      </bottom>
    </border>
    <border>
      <left style="thin">
        <color rgb="00FFFFFF"/>
      </left>
      <top style="thin">
        <color rgb="000E2030"/>
      </top>
    </border>
    <border>
      <left/>
      <right/>
      <top/>
      <bottom style="thin">
        <color rgb="00D0DEEC"/>
      </bottom>
      <diagonal/>
    </border>
  </borders>
  <cellStyleXfs count="1">
    <xf numFmtId="0" fontId="1" fillId="0" borderId="0"/>
  </cellStyleXfs>
  <cellXfs count="41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0" borderId="1" pivotButton="0" quotePrefix="0" xfId="0"/>
    <xf numFmtId="0" fontId="1" fillId="3" borderId="0" pivotButton="0" quotePrefix="0" xfId="0"/>
    <xf numFmtId="0" fontId="5" fillId="4" borderId="2" applyAlignment="1" pivotButton="0" quotePrefix="0" xfId="0">
      <alignment horizontal="left" vertical="bottom" indent="1"/>
    </xf>
    <xf numFmtId="3" fontId="6" fillId="4" borderId="2" applyAlignment="1" pivotButton="0" quotePrefix="0" xfId="0">
      <alignment horizontal="left" vertical="top" indent="1"/>
    </xf>
    <xf numFmtId="164" fontId="6" fillId="4" borderId="2" applyAlignment="1" pivotButton="0" quotePrefix="0" xfId="0">
      <alignment horizontal="left" vertical="top" indent="1"/>
    </xf>
    <xf numFmtId="0" fontId="7" fillId="5" borderId="4" applyAlignment="1" pivotButton="0" quotePrefix="0" xfId="0">
      <alignment horizontal="left" vertical="center" wrapText="1" indent="1"/>
    </xf>
    <xf numFmtId="0" fontId="1" fillId="0" borderId="5" applyAlignment="1" pivotButton="0" quotePrefix="0" xfId="0">
      <alignment horizontal="left" vertical="top" indent="1"/>
    </xf>
    <xf numFmtId="3" fontId="1" fillId="3" borderId="5" applyAlignment="1" pivotButton="0" quotePrefix="0" xfId="0">
      <alignment horizontal="right" vertical="top" indent="1"/>
    </xf>
    <xf numFmtId="165" fontId="1" fillId="3" borderId="5" applyAlignment="1" pivotButton="0" quotePrefix="0" xfId="0">
      <alignment horizontal="right" vertical="top" indent="1"/>
    </xf>
    <xf numFmtId="164" fontId="1" fillId="3" borderId="5" applyAlignment="1" pivotButton="0" quotePrefix="0" xfId="0">
      <alignment horizontal="right" vertical="top" indent="1"/>
    </xf>
    <xf numFmtId="0" fontId="8" fillId="4" borderId="6" applyAlignment="1" pivotButton="0" quotePrefix="0" xfId="0">
      <alignment horizontal="left" vertical="center" indent="1"/>
    </xf>
    <xf numFmtId="3" fontId="8" fillId="4" borderId="6" applyAlignment="1" pivotButton="0" quotePrefix="0" xfId="0">
      <alignment horizontal="right" vertical="center" indent="1"/>
    </xf>
    <xf numFmtId="165" fontId="8" fillId="4" borderId="6" applyAlignment="1" pivotButton="0" quotePrefix="0" xfId="0">
      <alignment horizontal="right" vertical="center" indent="1"/>
    </xf>
    <xf numFmtId="164" fontId="8" fillId="4" borderId="6" applyAlignment="1" pivotButton="0" quotePrefix="0" xfId="0">
      <alignment horizontal="right" vertical="center" indent="1"/>
    </xf>
    <xf numFmtId="0" fontId="9" fillId="0" borderId="0" pivotButton="0" quotePrefix="0" xfId="0"/>
    <xf numFmtId="0" fontId="10" fillId="0" borderId="1" pivotButton="0" quotePrefix="0" xfId="0"/>
    <xf numFmtId="0" fontId="0" fillId="0" borderId="7" pivotButton="0" quotePrefix="0" xfId="0"/>
    <xf numFmtId="0" fontId="4" fillId="0" borderId="5" applyAlignment="1" pivotButton="0" quotePrefix="0" xfId="0">
      <alignment horizontal="left" vertical="top" wrapText="1" indent="1"/>
    </xf>
    <xf numFmtId="0" fontId="4" fillId="0" borderId="5" applyAlignment="1" pivotButton="0" quotePrefix="0" xfId="0">
      <alignment horizontal="left" vertical="top" indent="1"/>
    </xf>
    <xf numFmtId="166" fontId="4" fillId="0" borderId="5" applyAlignment="1" pivotButton="0" quotePrefix="0" xfId="0">
      <alignment horizontal="right" vertical="top" indent="1"/>
    </xf>
    <xf numFmtId="3" fontId="4" fillId="0" borderId="5" applyAlignment="1" pivotButton="0" quotePrefix="0" xfId="0">
      <alignment horizontal="right" vertical="top" indent="1"/>
    </xf>
    <xf numFmtId="0" fontId="11" fillId="6" borderId="4" applyAlignment="1" pivotButton="0" quotePrefix="0" xfId="0">
      <alignment horizontal="left" vertical="center" indent="1"/>
    </xf>
    <xf numFmtId="0" fontId="0" fillId="6" borderId="3" pivotButton="0" quotePrefix="0" xfId="0"/>
    <xf numFmtId="9" fontId="4" fillId="0" borderId="5" applyAlignment="1" pivotButton="0" quotePrefix="0" xfId="0">
      <alignment horizontal="right" vertical="top" indent="1"/>
    </xf>
    <xf numFmtId="167" fontId="4" fillId="0" borderId="5" applyAlignment="1" pivotButton="0" quotePrefix="0" xfId="0">
      <alignment horizontal="right" vertical="top" indent="1"/>
    </xf>
    <xf numFmtId="168" fontId="1" fillId="3" borderId="5" applyAlignment="1" pivotButton="0" quotePrefix="0" xfId="0">
      <alignment horizontal="right" vertical="top" indent="1"/>
    </xf>
    <xf numFmtId="169" fontId="4" fillId="0" borderId="5" applyAlignment="1" pivotButton="0" quotePrefix="0" xfId="0">
      <alignment horizontal="right" vertical="top" indent="1"/>
    </xf>
    <xf numFmtId="164" fontId="4" fillId="0" borderId="5" applyAlignment="1" pivotButton="0" quotePrefix="0" xfId="0">
      <alignment horizontal="right" vertical="top" indent="1"/>
    </xf>
    <xf numFmtId="0" fontId="8" fillId="4" borderId="6" applyAlignment="1" pivotButton="0" quotePrefix="0" xfId="0">
      <alignment horizontal="right" vertical="center" indent="1"/>
    </xf>
    <xf numFmtId="168" fontId="8" fillId="4" borderId="6" applyAlignment="1" pivotButton="0" quotePrefix="0" xfId="0">
      <alignment horizontal="right" vertical="center" indent="1"/>
    </xf>
    <xf numFmtId="0" fontId="3" fillId="0" borderId="0" applyAlignment="1" pivotButton="0" quotePrefix="0" xfId="0">
      <alignment vertical="bottom"/>
    </xf>
    <xf numFmtId="0" fontId="7" fillId="5" borderId="0" applyAlignment="1" pivotButton="0" quotePrefix="0" xfId="0">
      <alignment horizontal="left" vertical="center" indent="1"/>
    </xf>
    <xf numFmtId="0" fontId="8" fillId="0" borderId="0" pivotButton="0" quotePrefix="0" xfId="0"/>
    <xf numFmtId="1" fontId="4" fillId="0" borderId="5" applyAlignment="1" pivotButton="0" quotePrefix="0" xfId="0">
      <alignment horizontal="left" vertical="top" indent="1"/>
    </xf>
    <xf numFmtId="0" fontId="12" fillId="0" borderId="5" applyAlignment="1" pivotButton="0" quotePrefix="0" xfId="0">
      <alignment horizontal="left" vertical="top" indent="1"/>
    </xf>
    <xf numFmtId="0" fontId="1" fillId="0" borderId="5" applyAlignment="1" pivotButton="0" quotePrefix="0" xfId="0">
      <alignment horizontal="left" vertical="top" wrapText="1" indent="1"/>
    </xf>
  </cellXfs>
  <cellStyles count="1">
    <cellStyle name="Normal" xfId="0" builtinId="0" hidden="0"/>
  </cellStyles>
  <dxfs count="2">
    <dxf>
      <font>
        <b val="1"/>
        <color rgb="000E2030"/>
      </font>
      <fill>
        <patternFill patternType="solid">
          <fgColor rgb="00D9C9F7"/>
          <bgColor rgb="00D9C9F7"/>
        </patternFill>
      </fill>
    </dxf>
    <dxf>
      <font>
        <b val="1"/>
        <color rgb="000E2030"/>
      </font>
      <fill>
        <patternFill patternType="solid">
          <fgColor rgb="00EAF2FF"/>
          <bgColor rgb="00EAF2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/Relationships>
</file>

<file path=xl/charts/chart1.xml><?xml version="1.0" encoding="utf-8"?>
<chartSpace xmlns="http://schemas.openxmlformats.org/drawingml/2006/chart">
  <roundedCorners val="0"/>
  <chart>
    <title>
      <tx>
        <strRef>
          <f>'Summary'!$B$31</f>
          <strCache>
            <ptCount val="1"/>
            <pt idx="0">
              <v>Internal hours by function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4"/>
          <w val="0.93"/>
          <h val="0.84"/>
        </manualLayout>
      </layout>
      <barChart>
        <barDir val="bar"/>
        <grouping val="clustered"/>
        <ser>
          <idx val="0"/>
          <order val="0"/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3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3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'Summary'!$B$12:$B$26</f>
            </numRef>
          </cat>
          <val>
            <numRef>
              <f>'Summary'!$E$12:$E$26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_rels/drawing11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12.xml.rels><Relationships xmlns="http://schemas.openxmlformats.org/package/2006/relationships"><Relationship Type="http://schemas.openxmlformats.org/officeDocument/2006/relationships/image" Target="/xl/media/image12.png" Id="rId1"/></Relationships>
</file>

<file path=xl/drawings/_rels/drawing13.xml.rels><Relationships xmlns="http://schemas.openxmlformats.org/package/2006/relationships"><Relationship Type="http://schemas.openxmlformats.org/officeDocument/2006/relationships/image" Target="/xl/media/image13.png" Id="rId1"/></Relationships>
</file>

<file path=xl/drawings/_rels/drawing14.xml.rels><Relationships xmlns="http://schemas.openxmlformats.org/package/2006/relationships"><Relationship Type="http://schemas.openxmlformats.org/officeDocument/2006/relationships/image" Target="/xl/media/image14.png" Id="rId1"/></Relationships>
</file>

<file path=xl/drawings/_rels/drawing15.xml.rels><Relationships xmlns="http://schemas.openxmlformats.org/package/2006/relationships"><Relationship Type="http://schemas.openxmlformats.org/officeDocument/2006/relationships/image" Target="/xl/media/image15.png" Id="rId1"/></Relationships>
</file>

<file path=xl/drawings/_rels/drawing16.xml.rels><Relationships xmlns="http://schemas.openxmlformats.org/package/2006/relationships"><Relationship Type="http://schemas.openxmlformats.org/officeDocument/2006/relationships/image" Target="/xl/media/image16.png" Id="rId1"/></Relationships>
</file>

<file path=xl/drawings/_rels/drawing17.xml.rels><Relationships xmlns="http://schemas.openxmlformats.org/package/2006/relationships"><Relationship Type="http://schemas.openxmlformats.org/officeDocument/2006/relationships/image" Target="/xl/media/image17.png" Id="rId1"/></Relationships>
</file>

<file path=xl/drawings/_rels/drawing18.xml.rels><Relationships xmlns="http://schemas.openxmlformats.org/package/2006/relationships"><Relationship Type="http://schemas.openxmlformats.org/officeDocument/2006/relationships/image" Target="/xl/media/image18.png" Id="rId1"/></Relationships>
</file>

<file path=xl/drawings/_rels/drawing19.xml.rels><Relationships xmlns="http://schemas.openxmlformats.org/package/2006/relationships"><Relationship Type="http://schemas.openxmlformats.org/officeDocument/2006/relationships/image" Target="/xl/media/image19.png" Id="rId1"/></Relationships>
</file>

<file path=xl/drawings/_rels/drawing20.xml.rels><Relationships xmlns="http://schemas.openxmlformats.org/package/2006/relationships"><Relationship Type="http://schemas.openxmlformats.org/officeDocument/2006/relationships/image" Target="/xl/media/image2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215836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32</row>
      <rowOff>0</rowOff>
    </from>
    <ext cx="7920000" cy="54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55495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26650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273653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1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2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3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4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5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6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7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8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9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0.xml><?xml version="1.0" encoding="utf-8"?>
<wsDr xmlns="http://schemas.openxmlformats.org/drawingml/2006/spreadsheetDrawing">
  <oneCellAnchor>
    <from>
      <col>0</col>
      <colOff>0</colOff>
      <row>0</row>
      <rowOff>0</rowOff>
    </from>
    <ext cx="225361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8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4" customWidth="1" min="2" max="2"/>
    <col width="26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Program scoping workbook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What it's for</t>
        </is>
      </c>
    </row>
    <row r="5">
      <c r="B5" s="4" t="inlineStr">
        <is>
          <t>Size every asset, system and deliverable a program touches, so the timeline, resourcing, cost and risk rest</t>
        </is>
      </c>
    </row>
    <row r="6">
      <c r="B6" s="4" t="inlineStr">
        <is>
          <t>on evidence rather than guesses. The example program here is a website and customer portal migration.</t>
        </is>
      </c>
    </row>
    <row r="7">
      <c r="B7" s="4" t="inlineStr"/>
    </row>
    <row r="8">
      <c r="B8" s="3" t="inlineStr">
        <is>
          <t>How to complete it</t>
        </is>
      </c>
    </row>
    <row r="9">
      <c r="B9" s="4" t="inlineStr">
        <is>
          <t>1. Each function has its own tab with a few example rows and blank rows. Replace the examples and add</t>
        </is>
      </c>
    </row>
    <row r="10">
      <c r="B10" s="4" t="inlineStr">
        <is>
          <t xml:space="preserve">    what's missing. Mark rows Not applicable rather than deleting them.</t>
        </is>
      </c>
    </row>
    <row r="11">
      <c r="B11" s="4" t="inlineStr">
        <is>
          <t>2. Split a row when its owner, effort, timing or risk differ from the rest.</t>
        </is>
      </c>
    </row>
    <row r="12">
      <c r="B12" s="4" t="inlineStr">
        <is>
          <t>3. Effort: enter active quantity, % needing change, setup hours, average hours per item and QA hours.</t>
        </is>
      </c>
    </row>
    <row r="13">
      <c r="B13" s="4" t="inlineStr">
        <is>
          <t xml:space="preserve">    The tab works out items to update, internal hours and FTE days.</t>
        </is>
      </c>
    </row>
    <row r="14">
      <c r="B14" s="4" t="inlineStr">
        <is>
          <t>4. Cost: add a blended hourly rate and any external or vendor cost. Total cost combines both.</t>
        </is>
      </c>
    </row>
    <row r="15">
      <c r="B15" s="4" t="inlineStr">
        <is>
          <t>5. Risk and timing: flag customer action, approvals, lead time, risk and whether old and new can run together.</t>
        </is>
      </c>
    </row>
    <row r="16">
      <c r="B16" s="4" t="inlineStr">
        <is>
          <t>6. Log the decisions everyone is planning around on Decisions, and the critical-path items on Dependencies.</t>
        </is>
      </c>
    </row>
    <row r="17">
      <c r="B17" s="4" t="inlineStr"/>
    </row>
    <row r="18">
      <c r="B18" s="3" t="inlineStr">
        <is>
          <t>Reading it</t>
        </is>
      </c>
    </row>
    <row r="19">
      <c r="B19" s="4" t="inlineStr">
        <is>
          <t>The Summary rolls every function up, with headline numbers and a chart of internal hours.</t>
        </is>
      </c>
    </row>
    <row r="20">
      <c r="B20" s="4" t="inlineStr">
        <is>
          <t>Rows shade when they need attention: critical risk, customer action, or work due by cutover.</t>
        </is>
      </c>
    </row>
    <row r="21">
      <c r="B21" s="4" t="inlineStr">
        <is>
          <t>To add a function, copy a function tab, rename it and add a row to the Summary that points to it.</t>
        </is>
      </c>
    </row>
    <row r="22">
      <c r="B22" s="4" t="inlineStr"/>
    </row>
    <row r="23">
      <c r="B23" s="3" t="inlineStr">
        <is>
          <t>Cell styles</t>
        </is>
      </c>
    </row>
    <row r="24">
      <c r="B24" s="4" t="inlineStr">
        <is>
          <t>Blue text on white = edit me · navy text on light blue = formula, leave it</t>
        </is>
      </c>
    </row>
    <row r="25">
      <c r="B25" s="4" t="inlineStr"/>
    </row>
    <row r="26">
      <c r="B26" s="4" t="inlineStr">
        <is>
          <t>All names and numbers in this template are examples. Estimate conservatively and note your assumptions.</t>
        </is>
      </c>
    </row>
    <row r="28">
      <c r="B28" s="5" t="inlineStr">
        <is>
          <t>Example input cell</t>
        </is>
      </c>
      <c r="C28" s="6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1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4" customWidth="1" min="2" max="2"/>
    <col width="12" customWidth="1" min="3" max="3"/>
    <col width="12" customWidth="1" min="4" max="4"/>
    <col width="13" customWidth="1" min="5" max="5"/>
    <col width="12" customWidth="1" min="6" max="6"/>
    <col width="14" customWidth="1" min="7" max="7"/>
    <col width="15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Program scope summary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Scope, effort, cost and risk by function. It fills in from the function tabs.</t>
        </is>
      </c>
    </row>
    <row r="6" ht="22" customHeight="1">
      <c r="B6" s="7" t="inlineStr">
        <is>
          <t>Internal hours</t>
        </is>
      </c>
      <c r="D6" s="7" t="inlineStr">
        <is>
          <t>FTE days</t>
        </is>
      </c>
      <c r="F6" s="7" t="inlineStr">
        <is>
          <t>Total estimated cost</t>
        </is>
      </c>
      <c r="H6" s="7" t="inlineStr">
        <is>
          <t>Customer action items</t>
        </is>
      </c>
    </row>
    <row r="7" ht="36" customHeight="1">
      <c r="B7" s="8">
        <f>E27</f>
        <v/>
      </c>
      <c r="D7" s="8">
        <f>F27</f>
        <v/>
      </c>
      <c r="F7" s="9">
        <f>H27</f>
        <v/>
      </c>
      <c r="H7" s="8">
        <f>J27</f>
        <v/>
      </c>
    </row>
    <row r="10">
      <c r="B10" s="3" t="inlineStr">
        <is>
          <t>By function</t>
        </is>
      </c>
    </row>
    <row r="11" ht="46" customHeight="1">
      <c r="B11" s="10" t="inlineStr">
        <is>
          <t>Function</t>
        </is>
      </c>
      <c r="C11" s="10" t="inlineStr">
        <is>
          <t>Scoped lines</t>
        </is>
      </c>
      <c r="D11" s="10" t="inlineStr">
        <is>
          <t>Items to update</t>
        </is>
      </c>
      <c r="E11" s="10" t="inlineStr">
        <is>
          <t>Internal hours</t>
        </is>
      </c>
      <c r="F11" s="10" t="inlineStr">
        <is>
          <t>FTE days</t>
        </is>
      </c>
      <c r="G11" s="10" t="inlineStr">
        <is>
          <t>External cost</t>
        </is>
      </c>
      <c r="H11" s="10" t="inlineStr">
        <is>
          <t>Total estimated cost</t>
        </is>
      </c>
      <c r="I11" s="10" t="inlineStr">
        <is>
          <t>High or critical risk</t>
        </is>
      </c>
      <c r="J11" s="10" t="inlineStr">
        <is>
          <t>Customer action</t>
        </is>
      </c>
    </row>
    <row r="12">
      <c r="B12" s="11" t="inlineStr">
        <is>
          <t>Marketing</t>
        </is>
      </c>
      <c r="C12" s="12">
        <f>COUNTA(Marketing!C10:C69)</f>
        <v/>
      </c>
      <c r="D12" s="12">
        <f>SUM(Marketing!J10:J69)</f>
        <v/>
      </c>
      <c r="E12" s="12">
        <f>SUM(Marketing!P10:P69)</f>
        <v/>
      </c>
      <c r="F12" s="13">
        <f>SUM(Marketing!Q10:Q69)</f>
        <v/>
      </c>
      <c r="G12" s="14">
        <f>SUM(Marketing!T10:T69)</f>
        <v/>
      </c>
      <c r="H12" s="14">
        <f>SUM(Marketing!U10:U69)</f>
        <v/>
      </c>
      <c r="I12" s="12">
        <f>COUNTIF(Marketing!AB10:AB69,"High")+COUNTIF(Marketing!AB10:AB69,"Critical")</f>
        <v/>
      </c>
      <c r="J12" s="12">
        <f>COUNTIF(Marketing!W10:W69,"Yes")</f>
        <v/>
      </c>
    </row>
    <row r="13">
      <c r="B13" s="11" t="inlineStr">
        <is>
          <t>Product</t>
        </is>
      </c>
      <c r="C13" s="12">
        <f>COUNTA(Product!C10:C69)</f>
        <v/>
      </c>
      <c r="D13" s="12">
        <f>SUM(Product!J10:J69)</f>
        <v/>
      </c>
      <c r="E13" s="12">
        <f>SUM(Product!P10:P69)</f>
        <v/>
      </c>
      <c r="F13" s="13">
        <f>SUM(Product!Q10:Q69)</f>
        <v/>
      </c>
      <c r="G13" s="14">
        <f>SUM(Product!T10:T69)</f>
        <v/>
      </c>
      <c r="H13" s="14">
        <f>SUM(Product!U10:U69)</f>
        <v/>
      </c>
      <c r="I13" s="12">
        <f>COUNTIF(Product!AB10:AB69,"High")+COUNTIF(Product!AB10:AB69,"Critical")</f>
        <v/>
      </c>
      <c r="J13" s="12">
        <f>COUNTIF(Product!W10:W69,"Yes")</f>
        <v/>
      </c>
    </row>
    <row r="14">
      <c r="B14" s="11" t="inlineStr">
        <is>
          <t>Engineering</t>
        </is>
      </c>
      <c r="C14" s="12">
        <f>COUNTA(Engineering!C10:C69)</f>
        <v/>
      </c>
      <c r="D14" s="12">
        <f>SUM(Engineering!J10:J69)</f>
        <v/>
      </c>
      <c r="E14" s="12">
        <f>SUM(Engineering!P10:P69)</f>
        <v/>
      </c>
      <c r="F14" s="13">
        <f>SUM(Engineering!Q10:Q69)</f>
        <v/>
      </c>
      <c r="G14" s="14">
        <f>SUM(Engineering!T10:T69)</f>
        <v/>
      </c>
      <c r="H14" s="14">
        <f>SUM(Engineering!U10:U69)</f>
        <v/>
      </c>
      <c r="I14" s="12">
        <f>COUNTIF(Engineering!AB10:AB69,"High")+COUNTIF(Engineering!AB10:AB69,"Critical")</f>
        <v/>
      </c>
      <c r="J14" s="12">
        <f>COUNTIF(Engineering!W10:W69,"Yes")</f>
        <v/>
      </c>
    </row>
    <row r="15">
      <c r="B15" s="11" t="inlineStr">
        <is>
          <t>IT &amp; Security</t>
        </is>
      </c>
      <c r="C15" s="12">
        <f>COUNTA('IT &amp; Security'!C10:C69)</f>
        <v/>
      </c>
      <c r="D15" s="12">
        <f>SUM('IT &amp; Security'!J10:J69)</f>
        <v/>
      </c>
      <c r="E15" s="12">
        <f>SUM('IT &amp; Security'!P10:P69)</f>
        <v/>
      </c>
      <c r="F15" s="13">
        <f>SUM('IT &amp; Security'!Q10:Q69)</f>
        <v/>
      </c>
      <c r="G15" s="14">
        <f>SUM('IT &amp; Security'!T10:T69)</f>
        <v/>
      </c>
      <c r="H15" s="14">
        <f>SUM('IT &amp; Security'!U10:U69)</f>
        <v/>
      </c>
      <c r="I15" s="12">
        <f>COUNTIF('IT &amp; Security'!AB10:AB69,"High")+COUNTIF('IT &amp; Security'!AB10:AB69,"Critical")</f>
        <v/>
      </c>
      <c r="J15" s="12">
        <f>COUNTIF('IT &amp; Security'!W10:W69,"Yes")</f>
        <v/>
      </c>
    </row>
    <row r="16">
      <c r="B16" s="11" t="inlineStr">
        <is>
          <t>Legal &amp; Privacy</t>
        </is>
      </c>
      <c r="C16" s="12">
        <f>COUNTA('Legal &amp; Privacy'!C10:C69)</f>
        <v/>
      </c>
      <c r="D16" s="12">
        <f>SUM('Legal &amp; Privacy'!J10:J69)</f>
        <v/>
      </c>
      <c r="E16" s="12">
        <f>SUM('Legal &amp; Privacy'!P10:P69)</f>
        <v/>
      </c>
      <c r="F16" s="13">
        <f>SUM('Legal &amp; Privacy'!Q10:Q69)</f>
        <v/>
      </c>
      <c r="G16" s="14">
        <f>SUM('Legal &amp; Privacy'!T10:T69)</f>
        <v/>
      </c>
      <c r="H16" s="14">
        <f>SUM('Legal &amp; Privacy'!U10:U69)</f>
        <v/>
      </c>
      <c r="I16" s="12">
        <f>COUNTIF('Legal &amp; Privacy'!AB10:AB69,"High")+COUNTIF('Legal &amp; Privacy'!AB10:AB69,"Critical")</f>
        <v/>
      </c>
      <c r="J16" s="12">
        <f>COUNTIF('Legal &amp; Privacy'!W10:W69,"Yes")</f>
        <v/>
      </c>
    </row>
    <row r="17">
      <c r="B17" s="11" t="inlineStr">
        <is>
          <t>Sales Enablement</t>
        </is>
      </c>
      <c r="C17" s="12">
        <f>COUNTA('Sales Enablement'!C10:C69)</f>
        <v/>
      </c>
      <c r="D17" s="12">
        <f>SUM('Sales Enablement'!J10:J69)</f>
        <v/>
      </c>
      <c r="E17" s="12">
        <f>SUM('Sales Enablement'!P10:P69)</f>
        <v/>
      </c>
      <c r="F17" s="13">
        <f>SUM('Sales Enablement'!Q10:Q69)</f>
        <v/>
      </c>
      <c r="G17" s="14">
        <f>SUM('Sales Enablement'!T10:T69)</f>
        <v/>
      </c>
      <c r="H17" s="14">
        <f>SUM('Sales Enablement'!U10:U69)</f>
        <v/>
      </c>
      <c r="I17" s="12">
        <f>COUNTIF('Sales Enablement'!AB10:AB69,"High")+COUNTIF('Sales Enablement'!AB10:AB69,"Critical")</f>
        <v/>
      </c>
      <c r="J17" s="12">
        <f>COUNTIF('Sales Enablement'!W10:W69,"Yes")</f>
        <v/>
      </c>
    </row>
    <row r="18">
      <c r="B18" s="11" t="inlineStr">
        <is>
          <t>Sales &amp; RevOps</t>
        </is>
      </c>
      <c r="C18" s="12">
        <f>COUNTA('Sales &amp; RevOps'!C10:C69)</f>
        <v/>
      </c>
      <c r="D18" s="12">
        <f>SUM('Sales &amp; RevOps'!J10:J69)</f>
        <v/>
      </c>
      <c r="E18" s="12">
        <f>SUM('Sales &amp; RevOps'!P10:P69)</f>
        <v/>
      </c>
      <c r="F18" s="13">
        <f>SUM('Sales &amp; RevOps'!Q10:Q69)</f>
        <v/>
      </c>
      <c r="G18" s="14">
        <f>SUM('Sales &amp; RevOps'!T10:T69)</f>
        <v/>
      </c>
      <c r="H18" s="14">
        <f>SUM('Sales &amp; RevOps'!U10:U69)</f>
        <v/>
      </c>
      <c r="I18" s="12">
        <f>COUNTIF('Sales &amp; RevOps'!AB10:AB69,"High")+COUNTIF('Sales &amp; RevOps'!AB10:AB69,"Critical")</f>
        <v/>
      </c>
      <c r="J18" s="12">
        <f>COUNTIF('Sales &amp; RevOps'!W10:W69,"Yes")</f>
        <v/>
      </c>
    </row>
    <row r="19">
      <c r="B19" s="11" t="inlineStr">
        <is>
          <t>Customer Success</t>
        </is>
      </c>
      <c r="C19" s="12">
        <f>COUNTA('Customer Success'!C10:C69)</f>
        <v/>
      </c>
      <c r="D19" s="12">
        <f>SUM('Customer Success'!J10:J69)</f>
        <v/>
      </c>
      <c r="E19" s="12">
        <f>SUM('Customer Success'!P10:P69)</f>
        <v/>
      </c>
      <c r="F19" s="13">
        <f>SUM('Customer Success'!Q10:Q69)</f>
        <v/>
      </c>
      <c r="G19" s="14">
        <f>SUM('Customer Success'!T10:T69)</f>
        <v/>
      </c>
      <c r="H19" s="14">
        <f>SUM('Customer Success'!U10:U69)</f>
        <v/>
      </c>
      <c r="I19" s="12">
        <f>COUNTIF('Customer Success'!AB10:AB69,"High")+COUNTIF('Customer Success'!AB10:AB69,"Critical")</f>
        <v/>
      </c>
      <c r="J19" s="12">
        <f>COUNTIF('Customer Success'!W10:W69,"Yes")</f>
        <v/>
      </c>
    </row>
    <row r="20">
      <c r="B20" s="11" t="inlineStr">
        <is>
          <t>Professional Services</t>
        </is>
      </c>
      <c r="C20" s="12">
        <f>COUNTA('Professional Services'!C10:C69)</f>
        <v/>
      </c>
      <c r="D20" s="12">
        <f>SUM('Professional Services'!J10:J69)</f>
        <v/>
      </c>
      <c r="E20" s="12">
        <f>SUM('Professional Services'!P10:P69)</f>
        <v/>
      </c>
      <c r="F20" s="13">
        <f>SUM('Professional Services'!Q10:Q69)</f>
        <v/>
      </c>
      <c r="G20" s="14">
        <f>SUM('Professional Services'!T10:T69)</f>
        <v/>
      </c>
      <c r="H20" s="14">
        <f>SUM('Professional Services'!U10:U69)</f>
        <v/>
      </c>
      <c r="I20" s="12">
        <f>COUNTIF('Professional Services'!AB10:AB69,"High")+COUNTIF('Professional Services'!AB10:AB69,"Critical")</f>
        <v/>
      </c>
      <c r="J20" s="12">
        <f>COUNTIF('Professional Services'!W10:W69,"Yes")</f>
        <v/>
      </c>
    </row>
    <row r="21">
      <c r="B21" s="11" t="inlineStr">
        <is>
          <t>Customer Support</t>
        </is>
      </c>
      <c r="C21" s="12">
        <f>COUNTA('Customer Support'!C10:C69)</f>
        <v/>
      </c>
      <c r="D21" s="12">
        <f>SUM('Customer Support'!J10:J69)</f>
        <v/>
      </c>
      <c r="E21" s="12">
        <f>SUM('Customer Support'!P10:P69)</f>
        <v/>
      </c>
      <c r="F21" s="13">
        <f>SUM('Customer Support'!Q10:Q69)</f>
        <v/>
      </c>
      <c r="G21" s="14">
        <f>SUM('Customer Support'!T10:T69)</f>
        <v/>
      </c>
      <c r="H21" s="14">
        <f>SUM('Customer Support'!U10:U69)</f>
        <v/>
      </c>
      <c r="I21" s="12">
        <f>COUNTIF('Customer Support'!AB10:AB69,"High")+COUNTIF('Customer Support'!AB10:AB69,"Critical")</f>
        <v/>
      </c>
      <c r="J21" s="12">
        <f>COUNTIF('Customer Support'!W10:W69,"Yes")</f>
        <v/>
      </c>
    </row>
    <row r="22">
      <c r="B22" s="11" t="inlineStr">
        <is>
          <t>Pre-Sales</t>
        </is>
      </c>
      <c r="C22" s="12">
        <f>COUNTA('Pre-Sales'!C10:C69)</f>
        <v/>
      </c>
      <c r="D22" s="12">
        <f>SUM('Pre-Sales'!J10:J69)</f>
        <v/>
      </c>
      <c r="E22" s="12">
        <f>SUM('Pre-Sales'!P10:P69)</f>
        <v/>
      </c>
      <c r="F22" s="13">
        <f>SUM('Pre-Sales'!Q10:Q69)</f>
        <v/>
      </c>
      <c r="G22" s="14">
        <f>SUM('Pre-Sales'!T10:T69)</f>
        <v/>
      </c>
      <c r="H22" s="14">
        <f>SUM('Pre-Sales'!U10:U69)</f>
        <v/>
      </c>
      <c r="I22" s="12">
        <f>COUNTIF('Pre-Sales'!AB10:AB69,"High")+COUNTIF('Pre-Sales'!AB10:AB69,"Critical")</f>
        <v/>
      </c>
      <c r="J22" s="12">
        <f>COUNTIF('Pre-Sales'!W10:W69,"Yes")</f>
        <v/>
      </c>
    </row>
    <row r="23">
      <c r="B23" s="11" t="inlineStr">
        <is>
          <t>Partners</t>
        </is>
      </c>
      <c r="C23" s="12">
        <f>COUNTA(Partners!C10:C69)</f>
        <v/>
      </c>
      <c r="D23" s="12">
        <f>SUM(Partners!J10:J69)</f>
        <v/>
      </c>
      <c r="E23" s="12">
        <f>SUM(Partners!P10:P69)</f>
        <v/>
      </c>
      <c r="F23" s="13">
        <f>SUM(Partners!Q10:Q69)</f>
        <v/>
      </c>
      <c r="G23" s="14">
        <f>SUM(Partners!T10:T69)</f>
        <v/>
      </c>
      <c r="H23" s="14">
        <f>SUM(Partners!U10:U69)</f>
        <v/>
      </c>
      <c r="I23" s="12">
        <f>COUNTIF(Partners!AB10:AB69,"High")+COUNTIF(Partners!AB10:AB69,"Critical")</f>
        <v/>
      </c>
      <c r="J23" s="12">
        <f>COUNTIF(Partners!W10:W69,"Yes")</f>
        <v/>
      </c>
    </row>
    <row r="24">
      <c r="B24" s="11" t="inlineStr">
        <is>
          <t>HR</t>
        </is>
      </c>
      <c r="C24" s="12">
        <f>COUNTA(HR!C10:C69)</f>
        <v/>
      </c>
      <c r="D24" s="12">
        <f>SUM(HR!J10:J69)</f>
        <v/>
      </c>
      <c r="E24" s="12">
        <f>SUM(HR!P10:P69)</f>
        <v/>
      </c>
      <c r="F24" s="13">
        <f>SUM(HR!Q10:Q69)</f>
        <v/>
      </c>
      <c r="G24" s="14">
        <f>SUM(HR!T10:T69)</f>
        <v/>
      </c>
      <c r="H24" s="14">
        <f>SUM(HR!U10:U69)</f>
        <v/>
      </c>
      <c r="I24" s="12">
        <f>COUNTIF(HR!AB10:AB69,"High")+COUNTIF(HR!AB10:AB69,"Critical")</f>
        <v/>
      </c>
      <c r="J24" s="12">
        <f>COUNTIF(HR!W10:W69,"Yes")</f>
        <v/>
      </c>
    </row>
    <row r="25">
      <c r="B25" s="11" t="inlineStr">
        <is>
          <t>Finance &amp; Procurement</t>
        </is>
      </c>
      <c r="C25" s="12">
        <f>COUNTA('Finance &amp; Procurement'!C10:C69)</f>
        <v/>
      </c>
      <c r="D25" s="12">
        <f>SUM('Finance &amp; Procurement'!J10:J69)</f>
        <v/>
      </c>
      <c r="E25" s="12">
        <f>SUM('Finance &amp; Procurement'!P10:P69)</f>
        <v/>
      </c>
      <c r="F25" s="13">
        <f>SUM('Finance &amp; Procurement'!Q10:Q69)</f>
        <v/>
      </c>
      <c r="G25" s="14">
        <f>SUM('Finance &amp; Procurement'!T10:T69)</f>
        <v/>
      </c>
      <c r="H25" s="14">
        <f>SUM('Finance &amp; Procurement'!U10:U69)</f>
        <v/>
      </c>
      <c r="I25" s="12">
        <f>COUNTIF('Finance &amp; Procurement'!AB10:AB69,"High")+COUNTIF('Finance &amp; Procurement'!AB10:AB69,"Critical")</f>
        <v/>
      </c>
      <c r="J25" s="12">
        <f>COUNTIF('Finance &amp; Procurement'!W10:W69,"Yes")</f>
        <v/>
      </c>
    </row>
    <row r="26">
      <c r="B26" s="11" t="inlineStr">
        <is>
          <t>Executive &amp; Strategy</t>
        </is>
      </c>
      <c r="C26" s="12">
        <f>COUNTA('Executive &amp; Strategy'!C10:C69)</f>
        <v/>
      </c>
      <c r="D26" s="12">
        <f>SUM('Executive &amp; Strategy'!J10:J69)</f>
        <v/>
      </c>
      <c r="E26" s="12">
        <f>SUM('Executive &amp; Strategy'!P10:P69)</f>
        <v/>
      </c>
      <c r="F26" s="13">
        <f>SUM('Executive &amp; Strategy'!Q10:Q69)</f>
        <v/>
      </c>
      <c r="G26" s="14">
        <f>SUM('Executive &amp; Strategy'!T10:T69)</f>
        <v/>
      </c>
      <c r="H26" s="14">
        <f>SUM('Executive &amp; Strategy'!U10:U69)</f>
        <v/>
      </c>
      <c r="I26" s="12">
        <f>COUNTIF('Executive &amp; Strategy'!AB10:AB69,"High")+COUNTIF('Executive &amp; Strategy'!AB10:AB69,"Critical")</f>
        <v/>
      </c>
      <c r="J26" s="12">
        <f>COUNTIF('Executive &amp; Strategy'!W10:W69,"Yes")</f>
        <v/>
      </c>
    </row>
    <row r="27">
      <c r="B27" s="15" t="inlineStr">
        <is>
          <t>Total</t>
        </is>
      </c>
      <c r="C27" s="16">
        <f>SUM(C12:C26)</f>
        <v/>
      </c>
      <c r="D27" s="16">
        <f>SUM(D12:D26)</f>
        <v/>
      </c>
      <c r="E27" s="16">
        <f>SUM(E12:E26)</f>
        <v/>
      </c>
      <c r="F27" s="17">
        <f>SUM(F12:F26)</f>
        <v/>
      </c>
      <c r="G27" s="18">
        <f>SUM(G12:G26)</f>
        <v/>
      </c>
      <c r="H27" s="18">
        <f>SUM(H12:H26)</f>
        <v/>
      </c>
      <c r="I27" s="16">
        <f>SUM(I12:I26)</f>
        <v/>
      </c>
      <c r="J27" s="16">
        <f>SUM(J12:J26)</f>
        <v/>
      </c>
    </row>
    <row r="30">
      <c r="B30" s="19" t="inlineStr">
        <is>
          <t>Chart title</t>
        </is>
      </c>
    </row>
    <row r="31">
      <c r="B31" s="20" t="inlineStr">
        <is>
          <t>Internal hours by function</t>
        </is>
      </c>
      <c r="C31" s="21" t="n"/>
      <c r="D31" s="21" t="n"/>
      <c r="E31" s="21" t="n"/>
      <c r="F31" s="21" t="n"/>
    </row>
  </sheetData>
  <mergeCells count="9">
    <mergeCell ref="D6:E6"/>
    <mergeCell ref="B6:C6"/>
    <mergeCell ref="D7:E7"/>
    <mergeCell ref="B7:C7"/>
    <mergeCell ref="H6:I6"/>
    <mergeCell ref="H7:I7"/>
    <mergeCell ref="F6:G6"/>
    <mergeCell ref="B31:F31"/>
    <mergeCell ref="F7:G7"/>
  </mergeCell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6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30" customWidth="1" min="2" max="2"/>
    <col width="40" customWidth="1" min="3" max="3"/>
    <col width="30" customWidth="1" min="4" max="4"/>
    <col width="13" customWidth="1" min="5" max="5"/>
    <col width="18" customWidth="1" min="6" max="6"/>
    <col width="13" customWidth="1" min="7" max="7"/>
    <col width="14" customWidth="1" min="8" max="8"/>
    <col width="34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Decisions and assumptions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Decisions that change scope, sequencing or risk. Keep them here so every function plans against the same assumptions.</t>
        </is>
      </c>
    </row>
    <row r="6" ht="34" customHeight="1">
      <c r="B6" s="10" t="inlineStr">
        <is>
          <t>Decision or assumption</t>
        </is>
      </c>
      <c r="C6" s="10" t="inlineStr">
        <is>
          <t>Why it changes scope</t>
        </is>
      </c>
      <c r="D6" s="10" t="inlineStr">
        <is>
          <t>Current assumption or options</t>
        </is>
      </c>
      <c r="E6" s="10" t="inlineStr">
        <is>
          <t>Status</t>
        </is>
      </c>
      <c r="F6" s="10" t="inlineStr">
        <is>
          <t>Decision owner</t>
        </is>
      </c>
      <c r="G6" s="10" t="inlineStr">
        <is>
          <t>Target date</t>
        </is>
      </c>
      <c r="H6" s="10" t="inlineStr">
        <is>
          <t>Impact if delayed</t>
        </is>
      </c>
      <c r="I6" s="10" t="inlineStr">
        <is>
          <t>Notes</t>
        </is>
      </c>
    </row>
    <row r="7">
      <c r="B7" s="22" t="inlineStr">
        <is>
          <t>Platform and hosting choice</t>
        </is>
      </c>
      <c r="C7" s="22" t="inlineStr">
        <is>
          <t>Sets the build effort, integrations and vendor contracts.</t>
        </is>
      </c>
      <c r="D7" s="22" t="inlineStr">
        <is>
          <t>Shortlist of two platforms</t>
        </is>
      </c>
      <c r="E7" s="23" t="inlineStr">
        <is>
          <t>In review</t>
        </is>
      </c>
      <c r="F7" s="23" t="n"/>
      <c r="G7" s="24" t="n"/>
      <c r="H7" s="23" t="inlineStr">
        <is>
          <t>High</t>
        </is>
      </c>
      <c r="I7" s="22" t="n"/>
    </row>
    <row r="8">
      <c r="B8" s="22" t="inlineStr">
        <is>
          <t>Cutover approach</t>
        </is>
      </c>
      <c r="C8" s="22" t="inlineStr">
        <is>
          <t>Big-bang or phased changes the peak workload and the risk.</t>
        </is>
      </c>
      <c r="D8" s="22" t="inlineStr">
        <is>
          <t>Phased by region</t>
        </is>
      </c>
      <c r="E8" s="23" t="inlineStr">
        <is>
          <t>Open</t>
        </is>
      </c>
      <c r="F8" s="23" t="n"/>
      <c r="G8" s="24" t="n"/>
      <c r="H8" s="23" t="inlineStr">
        <is>
          <t>High</t>
        </is>
      </c>
      <c r="I8" s="22" t="n"/>
    </row>
    <row r="9">
      <c r="B9" s="22" t="inlineStr">
        <is>
          <t>URL structure</t>
        </is>
      </c>
      <c r="C9" s="22" t="inlineStr">
        <is>
          <t>Drives redirects, search ranking and every link in other systems.</t>
        </is>
      </c>
      <c r="D9" s="22" t="inlineStr">
        <is>
          <t>Keep current paths where possible</t>
        </is>
      </c>
      <c r="E9" s="23" t="inlineStr">
        <is>
          <t>Open</t>
        </is>
      </c>
      <c r="F9" s="23" t="n"/>
      <c r="G9" s="24" t="n"/>
      <c r="H9" s="23" t="inlineStr">
        <is>
          <t>Critical</t>
        </is>
      </c>
      <c r="I9" s="22" t="n"/>
    </row>
    <row r="10">
      <c r="B10" s="22" t="inlineStr">
        <is>
          <t>Content freeze window</t>
        </is>
      </c>
      <c r="C10" s="22" t="inlineStr">
        <is>
          <t>Sets how long authors stop publishing before cutover.</t>
        </is>
      </c>
      <c r="D10" s="22" t="inlineStr">
        <is>
          <t>Two weeks</t>
        </is>
      </c>
      <c r="E10" s="23" t="inlineStr">
        <is>
          <t>Open</t>
        </is>
      </c>
      <c r="F10" s="23" t="n"/>
      <c r="G10" s="24" t="n"/>
      <c r="H10" s="23" t="inlineStr">
        <is>
          <t>Medium</t>
        </is>
      </c>
      <c r="I10" s="22" t="n"/>
    </row>
    <row r="11">
      <c r="B11" s="22" t="inlineStr">
        <is>
          <t>Legacy content treatment</t>
        </is>
      </c>
      <c r="C11" s="22" t="inlineStr">
        <is>
          <t>Decides what is moved, archived or retired.</t>
        </is>
      </c>
      <c r="D11" s="22" t="inlineStr">
        <is>
          <t>Move the last three years</t>
        </is>
      </c>
      <c r="E11" s="23" t="inlineStr">
        <is>
          <t>Open</t>
        </is>
      </c>
      <c r="F11" s="23" t="n"/>
      <c r="G11" s="24" t="n"/>
      <c r="H11" s="23" t="inlineStr">
        <is>
          <t>Medium</t>
        </is>
      </c>
      <c r="I11" s="22" t="n"/>
    </row>
    <row r="12">
      <c r="B12" s="22" t="inlineStr">
        <is>
          <t>Customer notification threshold</t>
        </is>
      </c>
      <c r="C12" s="22" t="inlineStr">
        <is>
          <t>Which changes need advance notice, and how much.</t>
        </is>
      </c>
      <c r="D12" s="22" t="inlineStr">
        <is>
          <t>30 days for anything customers configure</t>
        </is>
      </c>
      <c r="E12" s="23" t="inlineStr">
        <is>
          <t>Open</t>
        </is>
      </c>
      <c r="F12" s="23" t="n"/>
      <c r="G12" s="24" t="n"/>
      <c r="H12" s="23" t="inlineStr">
        <is>
          <t>High</t>
        </is>
      </c>
      <c r="I12" s="22" t="n"/>
    </row>
    <row r="13">
      <c r="B13" s="22" t="n"/>
      <c r="C13" s="22" t="n"/>
      <c r="D13" s="22" t="n"/>
      <c r="E13" s="23" t="n"/>
      <c r="F13" s="23" t="n"/>
      <c r="G13" s="24" t="n"/>
      <c r="H13" s="23" t="n"/>
      <c r="I13" s="22" t="n"/>
    </row>
    <row r="14">
      <c r="B14" s="22" t="n"/>
      <c r="C14" s="22" t="n"/>
      <c r="D14" s="22" t="n"/>
      <c r="E14" s="23" t="n"/>
      <c r="F14" s="23" t="n"/>
      <c r="G14" s="24" t="n"/>
      <c r="H14" s="23" t="n"/>
      <c r="I14" s="22" t="n"/>
    </row>
    <row r="15">
      <c r="B15" s="22" t="n"/>
      <c r="C15" s="22" t="n"/>
      <c r="D15" s="22" t="n"/>
      <c r="E15" s="23" t="n"/>
      <c r="F15" s="23" t="n"/>
      <c r="G15" s="24" t="n"/>
      <c r="H15" s="23" t="n"/>
      <c r="I15" s="22" t="n"/>
    </row>
    <row r="16">
      <c r="B16" s="22" t="n"/>
      <c r="C16" s="22" t="n"/>
      <c r="D16" s="22" t="n"/>
      <c r="E16" s="23" t="n"/>
      <c r="F16" s="23" t="n"/>
      <c r="G16" s="24" t="n"/>
      <c r="H16" s="23" t="n"/>
      <c r="I16" s="22" t="n"/>
    </row>
    <row r="17">
      <c r="B17" s="22" t="n"/>
      <c r="C17" s="22" t="n"/>
      <c r="D17" s="22" t="n"/>
      <c r="E17" s="23" t="n"/>
      <c r="F17" s="23" t="n"/>
      <c r="G17" s="24" t="n"/>
      <c r="H17" s="23" t="n"/>
      <c r="I17" s="22" t="n"/>
    </row>
    <row r="18">
      <c r="B18" s="22" t="n"/>
      <c r="C18" s="22" t="n"/>
      <c r="D18" s="22" t="n"/>
      <c r="E18" s="23" t="n"/>
      <c r="F18" s="23" t="n"/>
      <c r="G18" s="24" t="n"/>
      <c r="H18" s="23" t="n"/>
      <c r="I18" s="22" t="n"/>
    </row>
    <row r="19">
      <c r="B19" s="22" t="n"/>
      <c r="C19" s="22" t="n"/>
      <c r="D19" s="22" t="n"/>
      <c r="E19" s="23" t="n"/>
      <c r="F19" s="23" t="n"/>
      <c r="G19" s="24" t="n"/>
      <c r="H19" s="23" t="n"/>
      <c r="I19" s="22" t="n"/>
    </row>
    <row r="20">
      <c r="B20" s="22" t="n"/>
      <c r="C20" s="22" t="n"/>
      <c r="D20" s="22" t="n"/>
      <c r="E20" s="23" t="n"/>
      <c r="F20" s="23" t="n"/>
      <c r="G20" s="24" t="n"/>
      <c r="H20" s="23" t="n"/>
      <c r="I20" s="22" t="n"/>
    </row>
    <row r="21">
      <c r="B21" s="22" t="n"/>
      <c r="C21" s="22" t="n"/>
      <c r="D21" s="22" t="n"/>
      <c r="E21" s="23" t="n"/>
      <c r="F21" s="23" t="n"/>
      <c r="G21" s="24" t="n"/>
      <c r="H21" s="23" t="n"/>
      <c r="I21" s="22" t="n"/>
    </row>
    <row r="22">
      <c r="B22" s="22" t="n"/>
      <c r="C22" s="22" t="n"/>
      <c r="D22" s="22" t="n"/>
      <c r="E22" s="23" t="n"/>
      <c r="F22" s="23" t="n"/>
      <c r="G22" s="24" t="n"/>
      <c r="H22" s="23" t="n"/>
      <c r="I22" s="22" t="n"/>
    </row>
    <row r="23">
      <c r="B23" s="22" t="n"/>
      <c r="C23" s="22" t="n"/>
      <c r="D23" s="22" t="n"/>
      <c r="E23" s="23" t="n"/>
      <c r="F23" s="23" t="n"/>
      <c r="G23" s="24" t="n"/>
      <c r="H23" s="23" t="n"/>
      <c r="I23" s="22" t="n"/>
    </row>
    <row r="24">
      <c r="B24" s="22" t="n"/>
      <c r="C24" s="22" t="n"/>
      <c r="D24" s="22" t="n"/>
      <c r="E24" s="23" t="n"/>
      <c r="F24" s="23" t="n"/>
      <c r="G24" s="24" t="n"/>
      <c r="H24" s="23" t="n"/>
      <c r="I24" s="22" t="n"/>
    </row>
    <row r="25">
      <c r="B25" s="22" t="n"/>
      <c r="C25" s="22" t="n"/>
      <c r="D25" s="22" t="n"/>
      <c r="E25" s="23" t="n"/>
      <c r="F25" s="23" t="n"/>
      <c r="G25" s="24" t="n"/>
      <c r="H25" s="23" t="n"/>
      <c r="I25" s="22" t="n"/>
    </row>
    <row r="26">
      <c r="B26" s="22" t="n"/>
      <c r="C26" s="22" t="n"/>
      <c r="D26" s="22" t="n"/>
      <c r="E26" s="23" t="n"/>
      <c r="F26" s="23" t="n"/>
      <c r="G26" s="24" t="n"/>
      <c r="H26" s="23" t="n"/>
      <c r="I26" s="22" t="n"/>
    </row>
  </sheetData>
  <conditionalFormatting sqref="H7:H26">
    <cfRule type="expression" priority="1" dxfId="0">
      <formula>H7="Critical"</formula>
    </cfRule>
  </conditionalFormatting>
  <dataValidations count="2">
    <dataValidation sqref="E7:E26" showDropDown="0" showInputMessage="0" showErrorMessage="0" allowBlank="1" type="list">
      <formula1>=Lists!$H$7:$H$10</formula1>
    </dataValidation>
    <dataValidation sqref="H7:H26" showDropDown="0" showInputMessage="0" showErrorMessage="0" allowBlank="1" type="list">
      <formula1>=Lists!$C$7:$C$10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6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30" customWidth="1" min="2" max="2"/>
    <col width="22" customWidth="1" min="3" max="3"/>
    <col width="26" customWidth="1" min="4" max="4"/>
    <col width="34" customWidth="1" min="5" max="5"/>
    <col width="13" customWidth="1" min="6" max="6"/>
    <col width="13" customWidth="1" min="7" max="7"/>
    <col width="13" customWidth="1" min="8" max="8"/>
    <col width="13" customWidth="1" min="9" max="9"/>
    <col width="32" customWidth="1" min="10" max="10"/>
    <col width="16" customWidth="1" min="11" max="11"/>
    <col width="13" customWidth="1" min="12" max="12"/>
    <col width="13" customWidth="1" min="13" max="13"/>
    <col width="28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Critical dependencies and risks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Items most likely to set the critical path, or that need customers or third parties to act.</t>
        </is>
      </c>
    </row>
    <row r="6" ht="46" customHeight="1">
      <c r="B6" s="10" t="inlineStr">
        <is>
          <t>Dependency or risk</t>
        </is>
      </c>
      <c r="C6" s="10" t="inlineStr">
        <is>
          <t>Lead function</t>
        </is>
      </c>
      <c r="D6" s="10" t="inlineStr">
        <is>
          <t>Supporting functions</t>
        </is>
      </c>
      <c r="E6" s="10" t="inlineStr">
        <is>
          <t>Why it's critical</t>
        </is>
      </c>
      <c r="F6" s="10" t="inlineStr">
        <is>
          <t>Customer action?</t>
        </is>
      </c>
      <c r="G6" s="10" t="inlineStr">
        <is>
          <t>External approval?</t>
        </is>
      </c>
      <c r="H6" s="10" t="inlineStr">
        <is>
          <t>Minimum lead time (days)</t>
        </is>
      </c>
      <c r="I6" s="10" t="inlineStr">
        <is>
          <t>Old and new side by side?</t>
        </is>
      </c>
      <c r="J6" s="10" t="inlineStr">
        <is>
          <t>Decision or mitigation</t>
        </is>
      </c>
      <c r="K6" s="10" t="inlineStr">
        <is>
          <t>Owner</t>
        </is>
      </c>
      <c r="L6" s="10" t="inlineStr">
        <is>
          <t>Status</t>
        </is>
      </c>
      <c r="M6" s="10" t="inlineStr">
        <is>
          <t>Target date</t>
        </is>
      </c>
      <c r="N6" s="10" t="inlineStr">
        <is>
          <t>Notes</t>
        </is>
      </c>
    </row>
    <row r="7">
      <c r="B7" s="22" t="inlineStr">
        <is>
          <t>DNS and certificates for new hosts</t>
        </is>
      </c>
      <c r="C7" s="23" t="inlineStr">
        <is>
          <t>IT &amp; Security</t>
        </is>
      </c>
      <c r="D7" s="22" t="inlineStr">
        <is>
          <t>Engineering; Marketing</t>
        </is>
      </c>
      <c r="E7" s="22" t="inlineStr">
        <is>
          <t>Nothing goes live without them.</t>
        </is>
      </c>
      <c r="F7" s="23" t="inlineStr">
        <is>
          <t>No</t>
        </is>
      </c>
      <c r="G7" s="23" t="inlineStr">
        <is>
          <t>No</t>
        </is>
      </c>
      <c r="H7" s="25" t="n">
        <v>14</v>
      </c>
      <c r="I7" s="23" t="inlineStr">
        <is>
          <t>Yes</t>
        </is>
      </c>
      <c r="J7" s="22" t="inlineStr">
        <is>
          <t>Order certificates as soon as hosts are named.</t>
        </is>
      </c>
      <c r="K7" s="23" t="n"/>
      <c r="L7" s="23" t="inlineStr">
        <is>
          <t>Scoping</t>
        </is>
      </c>
      <c r="M7" s="24" t="n"/>
      <c r="N7" s="22" t="n"/>
    </row>
    <row r="8">
      <c r="B8" s="22" t="inlineStr">
        <is>
          <t>Customer allowlist updates</t>
        </is>
      </c>
      <c r="C8" s="23" t="inlineStr">
        <is>
          <t>IT &amp; Security</t>
        </is>
      </c>
      <c r="D8" s="22" t="inlineStr">
        <is>
          <t>Customer Success; Engineering</t>
        </is>
      </c>
      <c r="E8" s="22" t="inlineStr">
        <is>
          <t>Customers' firewalls may block the new hosts.</t>
        </is>
      </c>
      <c r="F8" s="23" t="inlineStr">
        <is>
          <t>Yes</t>
        </is>
      </c>
      <c r="G8" s="23" t="inlineStr">
        <is>
          <t>No</t>
        </is>
      </c>
      <c r="H8" s="25" t="n">
        <v>45</v>
      </c>
      <c r="I8" s="23" t="inlineStr">
        <is>
          <t>Yes</t>
        </is>
      </c>
      <c r="J8" s="22" t="inlineStr">
        <is>
          <t>Publish host list 45 days ahead.</t>
        </is>
      </c>
      <c r="K8" s="23" t="n"/>
      <c r="L8" s="23" t="inlineStr">
        <is>
          <t>Scoping</t>
        </is>
      </c>
      <c r="M8" s="24" t="n"/>
      <c r="N8" s="22" t="n"/>
    </row>
    <row r="9">
      <c r="B9" s="22" t="inlineStr">
        <is>
          <t>Single sign-on changes</t>
        </is>
      </c>
      <c r="C9" s="23" t="inlineStr">
        <is>
          <t>Engineering</t>
        </is>
      </c>
      <c r="D9" s="22" t="inlineStr">
        <is>
          <t>IT &amp; Security; Customer Success</t>
        </is>
      </c>
      <c r="E9" s="22" t="inlineStr">
        <is>
          <t>Customers on SSO lose access if this is missed.</t>
        </is>
      </c>
      <c r="F9" s="23" t="inlineStr">
        <is>
          <t>Yes</t>
        </is>
      </c>
      <c r="G9" s="23" t="inlineStr">
        <is>
          <t>No</t>
        </is>
      </c>
      <c r="H9" s="25" t="n">
        <v>30</v>
      </c>
      <c r="I9" s="23" t="inlineStr">
        <is>
          <t>Yes</t>
        </is>
      </c>
      <c r="J9" s="22" t="n"/>
      <c r="K9" s="23" t="n"/>
      <c r="L9" s="23" t="inlineStr">
        <is>
          <t>Scoping</t>
        </is>
      </c>
      <c r="M9" s="24" t="n"/>
      <c r="N9" s="22" t="n"/>
    </row>
    <row r="10">
      <c r="B10" s="22" t="inlineStr">
        <is>
          <t>Privacy notice update</t>
        </is>
      </c>
      <c r="C10" s="23" t="inlineStr">
        <is>
          <t>Legal &amp; Privacy</t>
        </is>
      </c>
      <c r="D10" s="22" t="inlineStr">
        <is>
          <t>Marketing</t>
        </is>
      </c>
      <c r="E10" s="22" t="inlineStr">
        <is>
          <t>Must be live before the new site collects data.</t>
        </is>
      </c>
      <c r="F10" s="23" t="inlineStr">
        <is>
          <t>No</t>
        </is>
      </c>
      <c r="G10" s="23" t="inlineStr">
        <is>
          <t>Yes</t>
        </is>
      </c>
      <c r="H10" s="25" t="n">
        <v>21</v>
      </c>
      <c r="I10" s="23" t="inlineStr">
        <is>
          <t>No</t>
        </is>
      </c>
      <c r="J10" s="22" t="n"/>
      <c r="K10" s="23" t="n"/>
      <c r="L10" s="23" t="inlineStr">
        <is>
          <t>Scoping</t>
        </is>
      </c>
      <c r="M10" s="24" t="n"/>
      <c r="N10" s="22" t="n"/>
    </row>
    <row r="11">
      <c r="B11" s="22" t="inlineStr">
        <is>
          <t>Marketplace listing changes</t>
        </is>
      </c>
      <c r="C11" s="23" t="inlineStr">
        <is>
          <t>Partners</t>
        </is>
      </c>
      <c r="D11" s="22" t="inlineStr">
        <is>
          <t>Marketing; Product</t>
        </is>
      </c>
      <c r="E11" s="22" t="inlineStr">
        <is>
          <t>Third-party review cycles are outside our control.</t>
        </is>
      </c>
      <c r="F11" s="23" t="inlineStr">
        <is>
          <t>No</t>
        </is>
      </c>
      <c r="G11" s="23" t="inlineStr">
        <is>
          <t>Yes</t>
        </is>
      </c>
      <c r="H11" s="25" t="n">
        <v>30</v>
      </c>
      <c r="I11" s="23" t="inlineStr">
        <is>
          <t>Unknown</t>
        </is>
      </c>
      <c r="J11" s="22" t="n"/>
      <c r="K11" s="23" t="n"/>
      <c r="L11" s="23" t="inlineStr">
        <is>
          <t>Scoping</t>
        </is>
      </c>
      <c r="M11" s="24" t="n"/>
      <c r="N11" s="22" t="n"/>
    </row>
    <row r="12">
      <c r="B12" s="22" t="inlineStr">
        <is>
          <t>Payment portal move</t>
        </is>
      </c>
      <c r="C12" s="23" t="inlineStr">
        <is>
          <t>Finance &amp; Procurement</t>
        </is>
      </c>
      <c r="D12" s="22" t="inlineStr">
        <is>
          <t>Engineering</t>
        </is>
      </c>
      <c r="E12" s="22" t="inlineStr">
        <is>
          <t>Billing must not be interrupted.</t>
        </is>
      </c>
      <c r="F12" s="23" t="inlineStr">
        <is>
          <t>Yes</t>
        </is>
      </c>
      <c r="G12" s="23" t="inlineStr">
        <is>
          <t>Yes</t>
        </is>
      </c>
      <c r="H12" s="25" t="n">
        <v>60</v>
      </c>
      <c r="I12" s="23" t="inlineStr">
        <is>
          <t>Yes</t>
        </is>
      </c>
      <c r="J12" s="22" t="n"/>
      <c r="K12" s="23" t="n"/>
      <c r="L12" s="23" t="inlineStr">
        <is>
          <t>Scoping</t>
        </is>
      </c>
      <c r="M12" s="24" t="n"/>
      <c r="N12" s="22" t="n"/>
    </row>
    <row r="13">
      <c r="B13" s="22" t="n"/>
      <c r="C13" s="23" t="n"/>
      <c r="D13" s="22" t="n"/>
      <c r="E13" s="22" t="n"/>
      <c r="F13" s="23" t="n"/>
      <c r="G13" s="23" t="n"/>
      <c r="H13" s="25" t="n"/>
      <c r="I13" s="23" t="n"/>
      <c r="J13" s="22" t="n"/>
      <c r="K13" s="23" t="n"/>
      <c r="L13" s="23" t="n"/>
      <c r="M13" s="24" t="n"/>
      <c r="N13" s="22" t="n"/>
    </row>
    <row r="14">
      <c r="B14" s="22" t="n"/>
      <c r="C14" s="23" t="n"/>
      <c r="D14" s="22" t="n"/>
      <c r="E14" s="22" t="n"/>
      <c r="F14" s="23" t="n"/>
      <c r="G14" s="23" t="n"/>
      <c r="H14" s="25" t="n"/>
      <c r="I14" s="23" t="n"/>
      <c r="J14" s="22" t="n"/>
      <c r="K14" s="23" t="n"/>
      <c r="L14" s="23" t="n"/>
      <c r="M14" s="24" t="n"/>
      <c r="N14" s="22" t="n"/>
    </row>
    <row r="15">
      <c r="B15" s="22" t="n"/>
      <c r="C15" s="23" t="n"/>
      <c r="D15" s="22" t="n"/>
      <c r="E15" s="22" t="n"/>
      <c r="F15" s="23" t="n"/>
      <c r="G15" s="23" t="n"/>
      <c r="H15" s="25" t="n"/>
      <c r="I15" s="23" t="n"/>
      <c r="J15" s="22" t="n"/>
      <c r="K15" s="23" t="n"/>
      <c r="L15" s="23" t="n"/>
      <c r="M15" s="24" t="n"/>
      <c r="N15" s="22" t="n"/>
    </row>
    <row r="16">
      <c r="B16" s="22" t="n"/>
      <c r="C16" s="23" t="n"/>
      <c r="D16" s="22" t="n"/>
      <c r="E16" s="22" t="n"/>
      <c r="F16" s="23" t="n"/>
      <c r="G16" s="23" t="n"/>
      <c r="H16" s="25" t="n"/>
      <c r="I16" s="23" t="n"/>
      <c r="J16" s="22" t="n"/>
      <c r="K16" s="23" t="n"/>
      <c r="L16" s="23" t="n"/>
      <c r="M16" s="24" t="n"/>
      <c r="N16" s="22" t="n"/>
    </row>
    <row r="17">
      <c r="B17" s="22" t="n"/>
      <c r="C17" s="23" t="n"/>
      <c r="D17" s="22" t="n"/>
      <c r="E17" s="22" t="n"/>
      <c r="F17" s="23" t="n"/>
      <c r="G17" s="23" t="n"/>
      <c r="H17" s="25" t="n"/>
      <c r="I17" s="23" t="n"/>
      <c r="J17" s="22" t="n"/>
      <c r="K17" s="23" t="n"/>
      <c r="L17" s="23" t="n"/>
      <c r="M17" s="24" t="n"/>
      <c r="N17" s="22" t="n"/>
    </row>
    <row r="18">
      <c r="B18" s="22" t="n"/>
      <c r="C18" s="23" t="n"/>
      <c r="D18" s="22" t="n"/>
      <c r="E18" s="22" t="n"/>
      <c r="F18" s="23" t="n"/>
      <c r="G18" s="23" t="n"/>
      <c r="H18" s="25" t="n"/>
      <c r="I18" s="23" t="n"/>
      <c r="J18" s="22" t="n"/>
      <c r="K18" s="23" t="n"/>
      <c r="L18" s="23" t="n"/>
      <c r="M18" s="24" t="n"/>
      <c r="N18" s="22" t="n"/>
    </row>
    <row r="19">
      <c r="B19" s="22" t="n"/>
      <c r="C19" s="23" t="n"/>
      <c r="D19" s="22" t="n"/>
      <c r="E19" s="22" t="n"/>
      <c r="F19" s="23" t="n"/>
      <c r="G19" s="23" t="n"/>
      <c r="H19" s="25" t="n"/>
      <c r="I19" s="23" t="n"/>
      <c r="J19" s="22" t="n"/>
      <c r="K19" s="23" t="n"/>
      <c r="L19" s="23" t="n"/>
      <c r="M19" s="24" t="n"/>
      <c r="N19" s="22" t="n"/>
    </row>
    <row r="20">
      <c r="B20" s="22" t="n"/>
      <c r="C20" s="23" t="n"/>
      <c r="D20" s="22" t="n"/>
      <c r="E20" s="22" t="n"/>
      <c r="F20" s="23" t="n"/>
      <c r="G20" s="23" t="n"/>
      <c r="H20" s="25" t="n"/>
      <c r="I20" s="23" t="n"/>
      <c r="J20" s="22" t="n"/>
      <c r="K20" s="23" t="n"/>
      <c r="L20" s="23" t="n"/>
      <c r="M20" s="24" t="n"/>
      <c r="N20" s="22" t="n"/>
    </row>
    <row r="21">
      <c r="B21" s="22" t="n"/>
      <c r="C21" s="23" t="n"/>
      <c r="D21" s="22" t="n"/>
      <c r="E21" s="22" t="n"/>
      <c r="F21" s="23" t="n"/>
      <c r="G21" s="23" t="n"/>
      <c r="H21" s="25" t="n"/>
      <c r="I21" s="23" t="n"/>
      <c r="J21" s="22" t="n"/>
      <c r="K21" s="23" t="n"/>
      <c r="L21" s="23" t="n"/>
      <c r="M21" s="24" t="n"/>
      <c r="N21" s="22" t="n"/>
    </row>
    <row r="22">
      <c r="B22" s="22" t="n"/>
      <c r="C22" s="23" t="n"/>
      <c r="D22" s="22" t="n"/>
      <c r="E22" s="22" t="n"/>
      <c r="F22" s="23" t="n"/>
      <c r="G22" s="23" t="n"/>
      <c r="H22" s="25" t="n"/>
      <c r="I22" s="23" t="n"/>
      <c r="J22" s="22" t="n"/>
      <c r="K22" s="23" t="n"/>
      <c r="L22" s="23" t="n"/>
      <c r="M22" s="24" t="n"/>
      <c r="N22" s="22" t="n"/>
    </row>
    <row r="23">
      <c r="B23" s="22" t="n"/>
      <c r="C23" s="23" t="n"/>
      <c r="D23" s="22" t="n"/>
      <c r="E23" s="22" t="n"/>
      <c r="F23" s="23" t="n"/>
      <c r="G23" s="23" t="n"/>
      <c r="H23" s="25" t="n"/>
      <c r="I23" s="23" t="n"/>
      <c r="J23" s="22" t="n"/>
      <c r="K23" s="23" t="n"/>
      <c r="L23" s="23" t="n"/>
      <c r="M23" s="24" t="n"/>
      <c r="N23" s="22" t="n"/>
    </row>
    <row r="24">
      <c r="B24" s="22" t="n"/>
      <c r="C24" s="23" t="n"/>
      <c r="D24" s="22" t="n"/>
      <c r="E24" s="22" t="n"/>
      <c r="F24" s="23" t="n"/>
      <c r="G24" s="23" t="n"/>
      <c r="H24" s="25" t="n"/>
      <c r="I24" s="23" t="n"/>
      <c r="J24" s="22" t="n"/>
      <c r="K24" s="23" t="n"/>
      <c r="L24" s="23" t="n"/>
      <c r="M24" s="24" t="n"/>
      <c r="N24" s="22" t="n"/>
    </row>
    <row r="25">
      <c r="B25" s="22" t="n"/>
      <c r="C25" s="23" t="n"/>
      <c r="D25" s="22" t="n"/>
      <c r="E25" s="22" t="n"/>
      <c r="F25" s="23" t="n"/>
      <c r="G25" s="23" t="n"/>
      <c r="H25" s="25" t="n"/>
      <c r="I25" s="23" t="n"/>
      <c r="J25" s="22" t="n"/>
      <c r="K25" s="23" t="n"/>
      <c r="L25" s="23" t="n"/>
      <c r="M25" s="24" t="n"/>
      <c r="N25" s="22" t="n"/>
    </row>
    <row r="26">
      <c r="B26" s="22" t="n"/>
      <c r="C26" s="23" t="n"/>
      <c r="D26" s="22" t="n"/>
      <c r="E26" s="22" t="n"/>
      <c r="F26" s="23" t="n"/>
      <c r="G26" s="23" t="n"/>
      <c r="H26" s="25" t="n"/>
      <c r="I26" s="23" t="n"/>
      <c r="J26" s="22" t="n"/>
      <c r="K26" s="23" t="n"/>
      <c r="L26" s="23" t="n"/>
      <c r="M26" s="24" t="n"/>
      <c r="N26" s="22" t="n"/>
    </row>
  </sheetData>
  <conditionalFormatting sqref="F7:F26">
    <cfRule type="expression" priority="1" dxfId="1">
      <formula>F7="Yes"</formula>
    </cfRule>
  </conditionalFormatting>
  <dataValidations count="3">
    <dataValidation sqref="C7:C26" showDropDown="0" showInputMessage="0" showErrorMessage="0" allowBlank="1" error="That isn't on the list. Keep it anyway?" type="list" errorStyle="information">
      <formula1>=Summary!$B$12:$B$26</formula1>
    </dataValidation>
    <dataValidation sqref="F7:G26 I7:I26" showDropDown="0" showInputMessage="0" showErrorMessage="0" allowBlank="1" type="list">
      <formula1>=Lists!$D$7:$D$10</formula1>
    </dataValidation>
    <dataValidation sqref="L7:L26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Marketing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Website</t>
        </is>
      </c>
      <c r="C10" s="22" t="inlineStr">
        <is>
          <t>Web pages</t>
        </is>
      </c>
      <c r="D10" s="22" t="inlineStr">
        <is>
          <t>Corporate site pages moving to the new platform</t>
        </is>
      </c>
      <c r="E10" s="23" t="inlineStr">
        <is>
          <t>Web manager</t>
        </is>
      </c>
      <c r="F10" s="23" t="inlineStr">
        <is>
          <t>Current CMS</t>
        </is>
      </c>
      <c r="G10" s="25" t="n">
        <v>12</v>
      </c>
      <c r="H10" s="25" t="n">
        <v>12</v>
      </c>
      <c r="I10" s="28" t="n">
        <v>0.25</v>
      </c>
      <c r="J10" s="12">
        <f>IF(OR(H10="",I10=""),"",ROUND(H10*I10,0))</f>
        <v/>
      </c>
      <c r="K10" s="23" t="inlineStr">
        <is>
          <t>Content update</t>
        </is>
      </c>
      <c r="L10" s="23" t="inlineStr">
        <is>
          <t>Medium</t>
        </is>
      </c>
      <c r="M10" s="25" t="n">
        <v>24</v>
      </c>
      <c r="N10" s="29" t="n">
        <v>0.5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>
        <v>85</v>
      </c>
      <c r="S10" s="14">
        <f>IF(OR(P10="",R10=""),"",P10*R10)</f>
        <v/>
      </c>
      <c r="T10" s="32" t="n">
        <v>5000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Low</t>
        </is>
      </c>
      <c r="AC10" s="23" t="inlineStr">
        <is>
          <t>Medium</t>
        </is>
      </c>
      <c r="AD10" s="23" t="inlineStr">
        <is>
          <t>No</t>
        </is>
      </c>
      <c r="AE10" s="23" t="inlineStr">
        <is>
          <t>Update</t>
        </is>
      </c>
      <c r="AF10" s="23" t="inlineStr">
        <is>
          <t>0–30 days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Website</t>
        </is>
      </c>
      <c r="C11" s="22" t="inlineStr">
        <is>
          <t>URL redirects</t>
        </is>
      </c>
      <c r="D11" s="22" t="inlineStr">
        <is>
          <t>Map old URLs to new ones to keep traffic and search ranking</t>
        </is>
      </c>
      <c r="E11" s="23" t="inlineStr">
        <is>
          <t>Web manager</t>
        </is>
      </c>
      <c r="F11" s="23" t="inlineStr">
        <is>
          <t>Web host</t>
        </is>
      </c>
      <c r="G11" s="25" t="n">
        <v>250</v>
      </c>
      <c r="H11" s="25" t="n">
        <v>188</v>
      </c>
      <c r="I11" s="28" t="n">
        <v>0.5</v>
      </c>
      <c r="J11" s="12">
        <f>IF(OR(H11="",I11=""),"",ROUND(H11*I11,0))</f>
        <v/>
      </c>
      <c r="K11" s="23" t="inlineStr">
        <is>
          <t>Full rebuild</t>
        </is>
      </c>
      <c r="L11" s="23" t="inlineStr">
        <is>
          <t>Medium</t>
        </is>
      </c>
      <c r="M11" s="25" t="n">
        <v>16</v>
      </c>
      <c r="N11" s="29" t="n">
        <v>0.5</v>
      </c>
      <c r="O11" s="25" t="n">
        <v>16</v>
      </c>
      <c r="P11" s="12">
        <f>IF(AND(J11="",M11="",O11=""),"",N(M11)+N(J11)*N(N11)+N(O11))</f>
        <v/>
      </c>
      <c r="Q11" s="30">
        <f>IF(P11="","",P11/Lists!$C$18)</f>
        <v/>
      </c>
      <c r="R11" s="31" t="n">
        <v>95</v>
      </c>
      <c r="S11" s="14">
        <f>IF(OR(P11="",R11=""),"",P11*R11)</f>
        <v/>
      </c>
      <c r="T11" s="32" t="n">
        <v>12000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14</v>
      </c>
      <c r="AB11" s="23" t="inlineStr">
        <is>
          <t>Critical</t>
        </is>
      </c>
      <c r="AC11" s="23" t="inlineStr">
        <is>
          <t>Low</t>
        </is>
      </c>
      <c r="AD11" s="23" t="inlineStr">
        <is>
          <t>Yes</t>
        </is>
      </c>
      <c r="AE11" s="23" t="inlineStr">
        <is>
          <t>Update</t>
        </is>
      </c>
      <c r="AF11" s="23" t="inlineStr">
        <is>
          <t>0–30 days</t>
        </is>
      </c>
      <c r="AG11" s="23" t="inlineStr">
        <is>
          <t>Validated</t>
        </is>
      </c>
      <c r="AH11" s="22" t="n"/>
    </row>
    <row r="12">
      <c r="B12" s="23" t="inlineStr">
        <is>
          <t>Website</t>
        </is>
      </c>
      <c r="C12" s="22" t="inlineStr">
        <is>
          <t>Web forms</t>
        </is>
      </c>
      <c r="D12" s="22" t="inlineStr">
        <is>
          <t>Contact, demo and download forms</t>
        </is>
      </c>
      <c r="E12" s="23" t="inlineStr">
        <is>
          <t>Marketing operations</t>
        </is>
      </c>
      <c r="F12" s="23" t="inlineStr">
        <is>
          <t>Marketing automation</t>
        </is>
      </c>
      <c r="G12" s="25" t="n">
        <v>60</v>
      </c>
      <c r="H12" s="25" t="n">
        <v>36</v>
      </c>
      <c r="I12" s="28" t="n">
        <v>0.75</v>
      </c>
      <c r="J12" s="12">
        <f>IF(OR(H12="",I12=""),"",ROUND(H12*I12,0))</f>
        <v/>
      </c>
      <c r="K12" s="23" t="inlineStr">
        <is>
          <t>Multiple changes</t>
        </is>
      </c>
      <c r="L12" s="23" t="inlineStr">
        <is>
          <t>High</t>
        </is>
      </c>
      <c r="M12" s="25" t="n">
        <v>24</v>
      </c>
      <c r="N12" s="29" t="n">
        <v>4</v>
      </c>
      <c r="O12" s="25" t="n">
        <v>2</v>
      </c>
      <c r="P12" s="12">
        <f>IF(AND(J12="",M12="",O12=""),"",N(M12)+N(J12)*N(N12)+N(O12))</f>
        <v/>
      </c>
      <c r="Q12" s="30">
        <f>IF(P12="","",P12/Lists!$C$18)</f>
        <v/>
      </c>
      <c r="R12" s="31" t="n">
        <v>85</v>
      </c>
      <c r="S12" s="14">
        <f>IF(OR(P12="",R12=""),"",P12*R12)</f>
        <v/>
      </c>
      <c r="T12" s="32" t="n">
        <v>5000</v>
      </c>
      <c r="U12" s="14">
        <f>IF(AND(S12="",T12=""),"",N(S12)+N(T12))</f>
        <v/>
      </c>
      <c r="V12" s="23" t="inlineStr">
        <is>
          <t>Yes</t>
        </is>
      </c>
      <c r="W12" s="23" t="inlineStr">
        <is>
          <t>Yes</t>
        </is>
      </c>
      <c r="X12" s="23" t="inlineStr">
        <is>
          <t>Partial</t>
        </is>
      </c>
      <c r="Y12" s="23" t="inlineStr">
        <is>
          <t>Yes</t>
        </is>
      </c>
      <c r="Z12" s="22" t="n"/>
      <c r="AA12" s="25" t="n">
        <v>30</v>
      </c>
      <c r="AB12" s="23" t="inlineStr">
        <is>
          <t>Medium</t>
        </is>
      </c>
      <c r="AC12" s="23" t="inlineStr">
        <is>
          <t>Medium</t>
        </is>
      </c>
      <c r="AD12" s="23" t="inlineStr">
        <is>
          <t>Yes</t>
        </is>
      </c>
      <c r="AE12" s="23" t="inlineStr">
        <is>
          <t>Update</t>
        </is>
      </c>
      <c r="AF12" s="23" t="inlineStr">
        <is>
          <t>0–30 days</t>
        </is>
      </c>
      <c r="AG12" s="23" t="inlineStr">
        <is>
          <t>Not started</t>
        </is>
      </c>
      <c r="AH12" s="22" t="n"/>
    </row>
    <row r="13">
      <c r="B13" s="23" t="inlineStr">
        <is>
          <t>Email</t>
        </is>
      </c>
      <c r="C13" s="22" t="inlineStr">
        <is>
          <t>Email templates</t>
        </is>
      </c>
      <c r="D13" s="22" t="inlineStr">
        <is>
          <t>Newsletter and nurture templates that link to the site</t>
        </is>
      </c>
      <c r="E13" s="23" t="inlineStr">
        <is>
          <t>Marketing operations</t>
        </is>
      </c>
      <c r="F13" s="23" t="inlineStr">
        <is>
          <t>Marketing automation</t>
        </is>
      </c>
      <c r="G13" s="25" t="n">
        <v>4</v>
      </c>
      <c r="H13" s="25" t="n">
        <v>2</v>
      </c>
      <c r="I13" s="28" t="n">
        <v>0.5</v>
      </c>
      <c r="J13" s="12">
        <f>IF(OR(H13="",I13=""),"",ROUND(H13*I13,0))</f>
        <v/>
      </c>
      <c r="K13" s="23" t="inlineStr">
        <is>
          <t>URL / link</t>
        </is>
      </c>
      <c r="L13" s="23" t="inlineStr">
        <is>
          <t>High</t>
        </is>
      </c>
      <c r="M13" s="25" t="n">
        <v>4</v>
      </c>
      <c r="N13" s="29" t="n">
        <v>0.5</v>
      </c>
      <c r="O13" s="25" t="n">
        <v>2</v>
      </c>
      <c r="P13" s="12">
        <f>IF(AND(J13="",M13="",O13=""),"",N(M13)+N(J13)*N(N13)+N(O13))</f>
        <v/>
      </c>
      <c r="Q13" s="30">
        <f>IF(P13="","",P13/Lists!$C$18)</f>
        <v/>
      </c>
      <c r="R13" s="31" t="n">
        <v>85</v>
      </c>
      <c r="S13" s="14">
        <f>IF(OR(P13="",R13=""),"",P13*R13)</f>
        <v/>
      </c>
      <c r="T13" s="32" t="n">
        <v>5000</v>
      </c>
      <c r="U13" s="14">
        <f>IF(AND(S13="",T13=""),"",N(S13)+N(T13))</f>
        <v/>
      </c>
      <c r="V13" s="23" t="inlineStr">
        <is>
          <t>No</t>
        </is>
      </c>
      <c r="W13" s="23" t="inlineStr">
        <is>
          <t>No</t>
        </is>
      </c>
      <c r="X13" s="23" t="inlineStr">
        <is>
          <t>Partial</t>
        </is>
      </c>
      <c r="Y13" s="23" t="inlineStr">
        <is>
          <t>No</t>
        </is>
      </c>
      <c r="Z13" s="22" t="n"/>
      <c r="AA13" s="25" t="n">
        <v>30</v>
      </c>
      <c r="AB13" s="23" t="inlineStr">
        <is>
          <t>Medium</t>
        </is>
      </c>
      <c r="AC13" s="23" t="inlineStr">
        <is>
          <t>High</t>
        </is>
      </c>
      <c r="AD13" s="23" t="inlineStr">
        <is>
          <t>No</t>
        </is>
      </c>
      <c r="AE13" s="23" t="inlineStr">
        <is>
          <t>Update</t>
        </is>
      </c>
      <c r="AF13" s="23" t="inlineStr">
        <is>
          <t>31–90 days</t>
        </is>
      </c>
      <c r="AG13" s="23" t="inlineStr">
        <is>
          <t>Scoping</t>
        </is>
      </c>
      <c r="AH13" s="22" t="n"/>
    </row>
    <row r="14">
      <c r="B14" s="23" t="inlineStr">
        <is>
          <t>Content</t>
        </is>
      </c>
      <c r="C14" s="22" t="inlineStr">
        <is>
          <t>Resource library</t>
        </is>
      </c>
      <c r="D14" s="22" t="inlineStr">
        <is>
          <t>Guides, reports and case studies with site links</t>
        </is>
      </c>
      <c r="E14" s="23" t="inlineStr">
        <is>
          <t>Content lead</t>
        </is>
      </c>
      <c r="F14" s="23" t="inlineStr">
        <is>
          <t>Current CMS</t>
        </is>
      </c>
      <c r="G14" s="25" t="n">
        <v>40</v>
      </c>
      <c r="H14" s="25" t="n">
        <v>24</v>
      </c>
      <c r="I14" s="28" t="n">
        <v>1</v>
      </c>
      <c r="J14" s="12">
        <f>IF(OR(H14="",I14=""),"",ROUND(H14*I14,0))</f>
        <v/>
      </c>
      <c r="K14" s="23" t="inlineStr">
        <is>
          <t>Full rebuild</t>
        </is>
      </c>
      <c r="L14" s="23" t="inlineStr">
        <is>
          <t>Medium</t>
        </is>
      </c>
      <c r="M14" s="25" t="n">
        <v>40</v>
      </c>
      <c r="N14" s="29" t="n">
        <v>4</v>
      </c>
      <c r="O14" s="25" t="n">
        <v>4</v>
      </c>
      <c r="P14" s="12">
        <f>IF(AND(J14="",M14="",O14=""),"",N(M14)+N(J14)*N(N14)+N(O14))</f>
        <v/>
      </c>
      <c r="Q14" s="30">
        <f>IF(P14="","",P14/Lists!$C$18)</f>
        <v/>
      </c>
      <c r="R14" s="31" t="n">
        <v>85</v>
      </c>
      <c r="S14" s="14">
        <f>IF(OR(P14="",R14=""),"",P14*R14)</f>
        <v/>
      </c>
      <c r="T14" s="32" t="n">
        <v>5000</v>
      </c>
      <c r="U14" s="14">
        <f>IF(AND(S14="",T14=""),"",N(S14)+N(T14))</f>
        <v/>
      </c>
      <c r="V14" s="23" t="inlineStr">
        <is>
          <t>No</t>
        </is>
      </c>
      <c r="W14" s="23" t="inlineStr">
        <is>
          <t>Yes</t>
        </is>
      </c>
      <c r="X14" s="23" t="inlineStr">
        <is>
          <t>Yes</t>
        </is>
      </c>
      <c r="Y14" s="23" t="inlineStr">
        <is>
          <t>No</t>
        </is>
      </c>
      <c r="Z14" s="22" t="n"/>
      <c r="AA14" s="25" t="n">
        <v>30</v>
      </c>
      <c r="AB14" s="23" t="inlineStr">
        <is>
          <t>High</t>
        </is>
      </c>
      <c r="AC14" s="23" t="inlineStr">
        <is>
          <t>Medium</t>
        </is>
      </c>
      <c r="AD14" s="23" t="inlineStr">
        <is>
          <t>Partial</t>
        </is>
      </c>
      <c r="AE14" s="23" t="inlineStr">
        <is>
          <t>Redirect</t>
        </is>
      </c>
      <c r="AF14" s="23" t="inlineStr">
        <is>
          <t>31–90 days</t>
        </is>
      </c>
      <c r="AG14" s="23" t="inlineStr">
        <is>
          <t>Scoping</t>
        </is>
      </c>
      <c r="AH14" s="22" t="n"/>
    </row>
    <row r="15">
      <c r="B15" s="23" t="inlineStr">
        <is>
          <t>Social</t>
        </is>
      </c>
      <c r="C15" s="22" t="inlineStr">
        <is>
          <t>Social profile links</t>
        </is>
      </c>
      <c r="D15" s="22" t="inlineStr">
        <is>
          <t>Profile and bio links across social channels</t>
        </is>
      </c>
      <c r="E15" s="23" t="inlineStr">
        <is>
          <t>Social lead</t>
        </is>
      </c>
      <c r="F15" s="23" t="inlineStr">
        <is>
          <t>Social platforms</t>
        </is>
      </c>
      <c r="G15" s="25" t="n">
        <v>60</v>
      </c>
      <c r="H15" s="25" t="n">
        <v>60</v>
      </c>
      <c r="I15" s="28" t="n">
        <v>0.75</v>
      </c>
      <c r="J15" s="12">
        <f>IF(OR(H15="",I15=""),"",ROUND(H15*I15,0))</f>
        <v/>
      </c>
      <c r="K15" s="23" t="inlineStr">
        <is>
          <t>URL / link</t>
        </is>
      </c>
      <c r="L15" s="23" t="inlineStr">
        <is>
          <t>Medium</t>
        </is>
      </c>
      <c r="M15" s="25" t="n">
        <v>40</v>
      </c>
      <c r="N15" s="29" t="n">
        <v>4</v>
      </c>
      <c r="O15" s="25" t="n">
        <v>16</v>
      </c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>
        <v>30000</v>
      </c>
      <c r="U15" s="14">
        <f>IF(AND(S15="",T15=""),"",N(S15)+N(T15))</f>
        <v/>
      </c>
      <c r="V15" s="23" t="inlineStr">
        <is>
          <t>Yes</t>
        </is>
      </c>
      <c r="W15" s="23" t="inlineStr">
        <is>
          <t>No</t>
        </is>
      </c>
      <c r="X15" s="23" t="inlineStr">
        <is>
          <t>Partial</t>
        </is>
      </c>
      <c r="Y15" s="23" t="inlineStr">
        <is>
          <t>Yes</t>
        </is>
      </c>
      <c r="Z15" s="22" t="n"/>
      <c r="AA15" s="25" t="n">
        <v>60</v>
      </c>
      <c r="AB15" s="23" t="inlineStr">
        <is>
          <t>Medium</t>
        </is>
      </c>
      <c r="AC15" s="23" t="inlineStr">
        <is>
          <t>Medium</t>
        </is>
      </c>
      <c r="AD15" s="23" t="inlineStr">
        <is>
          <t>Yes</t>
        </is>
      </c>
      <c r="AE15" s="23" t="inlineStr">
        <is>
          <t>Merge</t>
        </is>
      </c>
      <c r="AF15" s="23" t="inlineStr">
        <is>
          <t>0–30 days</t>
        </is>
      </c>
      <c r="AG15" s="23" t="inlineStr">
        <is>
          <t>Scoping</t>
        </is>
      </c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Marketing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Product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In-product</t>
        </is>
      </c>
      <c r="C10" s="22" t="inlineStr">
        <is>
          <t>Help links</t>
        </is>
      </c>
      <c r="D10" s="22" t="inlineStr">
        <is>
          <t>Links from the product UI to help articles</t>
        </is>
      </c>
      <c r="E10" s="23" t="inlineStr">
        <is>
          <t>Product manager</t>
        </is>
      </c>
      <c r="F10" s="23" t="inlineStr">
        <is>
          <t>Product codebase</t>
        </is>
      </c>
      <c r="G10" s="25" t="n">
        <v>60</v>
      </c>
      <c r="H10" s="25" t="n">
        <v>54</v>
      </c>
      <c r="I10" s="28" t="n">
        <v>0.5</v>
      </c>
      <c r="J10" s="12">
        <f>IF(OR(H10="",I10=""),"",ROUND(H10*I10,0))</f>
        <v/>
      </c>
      <c r="K10" s="23" t="inlineStr">
        <is>
          <t>Technical configuration</t>
        </is>
      </c>
      <c r="L10" s="23" t="inlineStr">
        <is>
          <t>High</t>
        </is>
      </c>
      <c r="M10" s="25" t="n">
        <v>16</v>
      </c>
      <c r="N10" s="29" t="n">
        <v>1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85</v>
      </c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Yes</t>
        </is>
      </c>
      <c r="W10" s="23" t="inlineStr">
        <is>
          <t>No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5</v>
      </c>
      <c r="AB10" s="23" t="inlineStr">
        <is>
          <t>Low</t>
        </is>
      </c>
      <c r="AC10" s="23" t="inlineStr">
        <is>
          <t>High</t>
        </is>
      </c>
      <c r="AD10" s="23" t="inlineStr">
        <is>
          <t>Yes</t>
        </is>
      </c>
      <c r="AE10" s="23" t="inlineStr">
        <is>
          <t>Update</t>
        </is>
      </c>
      <c r="AF10" s="23" t="inlineStr">
        <is>
          <t>Before cutover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Documentation</t>
        </is>
      </c>
      <c r="C11" s="22" t="inlineStr">
        <is>
          <t>Release notes</t>
        </is>
      </c>
      <c r="D11" s="22" t="inlineStr">
        <is>
          <t>Published notes that reference portal pages</t>
        </is>
      </c>
      <c r="E11" s="23" t="inlineStr">
        <is>
          <t>Product marketing</t>
        </is>
      </c>
      <c r="F11" s="23" t="inlineStr">
        <is>
          <t>Docs site</t>
        </is>
      </c>
      <c r="G11" s="25" t="n">
        <v>40</v>
      </c>
      <c r="H11" s="25" t="n">
        <v>36</v>
      </c>
      <c r="I11" s="28" t="n">
        <v>0.75</v>
      </c>
      <c r="J11" s="12">
        <f>IF(OR(H11="",I11=""),"",ROUND(H11*I11,0))</f>
        <v/>
      </c>
      <c r="K11" s="23" t="inlineStr">
        <is>
          <t>Technical configuration</t>
        </is>
      </c>
      <c r="L11" s="23" t="inlineStr">
        <is>
          <t>High</t>
        </is>
      </c>
      <c r="M11" s="25" t="n">
        <v>4</v>
      </c>
      <c r="N11" s="29" t="n">
        <v>0.25</v>
      </c>
      <c r="O11" s="25" t="n">
        <v>16</v>
      </c>
      <c r="P11" s="12">
        <f>IF(AND(J11="",M11="",O11=""),"",N(M11)+N(J11)*N(N11)+N(O11))</f>
        <v/>
      </c>
      <c r="Q11" s="30">
        <f>IF(P11="","",P11/Lists!$C$18)</f>
        <v/>
      </c>
      <c r="R11" s="31" t="n">
        <v>95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10</v>
      </c>
      <c r="AB11" s="23" t="inlineStr">
        <is>
          <t>Medium</t>
        </is>
      </c>
      <c r="AC11" s="23" t="inlineStr">
        <is>
          <t>Low</t>
        </is>
      </c>
      <c r="AD11" s="23" t="inlineStr">
        <is>
          <t>Partial</t>
        </is>
      </c>
      <c r="AE11" s="23" t="inlineStr">
        <is>
          <t>Update</t>
        </is>
      </c>
      <c r="AF11" s="23" t="inlineStr">
        <is>
          <t>0–30 days</t>
        </is>
      </c>
      <c r="AG11" s="23" t="inlineStr">
        <is>
          <t>Validated</t>
        </is>
      </c>
      <c r="AH11" s="22" t="n"/>
    </row>
    <row r="12">
      <c r="B12" s="23" t="inlineStr">
        <is>
          <t>In-product</t>
        </is>
      </c>
      <c r="C12" s="22" t="inlineStr">
        <is>
          <t>Notification emails</t>
        </is>
      </c>
      <c r="D12" s="22" t="inlineStr">
        <is>
          <t>System emails sent from the product</t>
        </is>
      </c>
      <c r="E12" s="23" t="inlineStr">
        <is>
          <t>Product manager</t>
        </is>
      </c>
      <c r="F12" s="23" t="inlineStr">
        <is>
          <t>Notification service</t>
        </is>
      </c>
      <c r="G12" s="25" t="n">
        <v>250</v>
      </c>
      <c r="H12" s="25" t="n">
        <v>188</v>
      </c>
      <c r="I12" s="28" t="n">
        <v>0.25</v>
      </c>
      <c r="J12" s="12">
        <f>IF(OR(H12="",I12=""),"",ROUND(H12*I12,0))</f>
        <v/>
      </c>
      <c r="K12" s="23" t="inlineStr">
        <is>
          <t>Visual update</t>
        </is>
      </c>
      <c r="L12" s="23" t="inlineStr">
        <is>
          <t>Low</t>
        </is>
      </c>
      <c r="M12" s="25" t="n">
        <v>40</v>
      </c>
      <c r="N12" s="29" t="n">
        <v>2</v>
      </c>
      <c r="O12" s="25" t="n">
        <v>8</v>
      </c>
      <c r="P12" s="12">
        <f>IF(AND(J12="",M12="",O12=""),"",N(M12)+N(J12)*N(N12)+N(O12))</f>
        <v/>
      </c>
      <c r="Q12" s="30">
        <f>IF(P12="","",P12/Lists!$C$18)</f>
        <v/>
      </c>
      <c r="R12" s="31" t="n">
        <v>85</v>
      </c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No</t>
        </is>
      </c>
      <c r="W12" s="23" t="inlineStr">
        <is>
          <t>Yes</t>
        </is>
      </c>
      <c r="X12" s="23" t="inlineStr">
        <is>
          <t>No</t>
        </is>
      </c>
      <c r="Y12" s="23" t="inlineStr">
        <is>
          <t>No</t>
        </is>
      </c>
      <c r="Z12" s="22" t="n"/>
      <c r="AA12" s="25" t="n">
        <v>10</v>
      </c>
      <c r="AB12" s="23" t="inlineStr">
        <is>
          <t>Medium</t>
        </is>
      </c>
      <c r="AC12" s="23" t="inlineStr">
        <is>
          <t>Low</t>
        </is>
      </c>
      <c r="AD12" s="23" t="inlineStr">
        <is>
          <t>No</t>
        </is>
      </c>
      <c r="AE12" s="23" t="inlineStr">
        <is>
          <t>Update</t>
        </is>
      </c>
      <c r="AF12" s="23" t="inlineStr">
        <is>
          <t>Before cutover</t>
        </is>
      </c>
      <c r="AG12" s="23" t="inlineStr">
        <is>
          <t>Scoping</t>
        </is>
      </c>
      <c r="AH12" s="22" t="n"/>
    </row>
    <row r="13">
      <c r="B13" s="23" t="inlineStr">
        <is>
          <t>Documentation</t>
        </is>
      </c>
      <c r="C13" s="22" t="inlineStr">
        <is>
          <t>Admin guides</t>
        </is>
      </c>
      <c r="D13" s="22" t="inlineStr">
        <is>
          <t>Online and PDF admin guides</t>
        </is>
      </c>
      <c r="E13" s="23" t="inlineStr">
        <is>
          <t>Technical writer</t>
        </is>
      </c>
      <c r="F13" s="23" t="inlineStr">
        <is>
          <t>Docs site</t>
        </is>
      </c>
      <c r="G13" s="25" t="n">
        <v>800</v>
      </c>
      <c r="H13" s="25" t="n">
        <v>600</v>
      </c>
      <c r="I13" s="28" t="n">
        <v>0.5</v>
      </c>
      <c r="J13" s="12">
        <f>IF(OR(H13="",I13=""),"",ROUND(H13*I13,0))</f>
        <v/>
      </c>
      <c r="K13" s="23" t="inlineStr">
        <is>
          <t>Legal text</t>
        </is>
      </c>
      <c r="L13" s="23" t="inlineStr">
        <is>
          <t>Low</t>
        </is>
      </c>
      <c r="M13" s="25" t="n">
        <v>24</v>
      </c>
      <c r="N13" s="29" t="n">
        <v>0.5</v>
      </c>
      <c r="O13" s="25" t="n">
        <v>2</v>
      </c>
      <c r="P13" s="12">
        <f>IF(AND(J13="",M13="",O13=""),"",N(M13)+N(J13)*N(N13)+N(O13))</f>
        <v/>
      </c>
      <c r="Q13" s="30">
        <f>IF(P13="","",P13/Lists!$C$18)</f>
        <v/>
      </c>
      <c r="R13" s="31" t="n">
        <v>95</v>
      </c>
      <c r="S13" s="14">
        <f>IF(OR(P13="",R13=""),"",P13*R13)</f>
        <v/>
      </c>
      <c r="T13" s="32" t="n"/>
      <c r="U13" s="14">
        <f>IF(AND(S13="",T13=""),"",N(S13)+N(T13))</f>
        <v/>
      </c>
      <c r="V13" s="23" t="inlineStr">
        <is>
          <t>No</t>
        </is>
      </c>
      <c r="W13" s="23" t="inlineStr">
        <is>
          <t>No</t>
        </is>
      </c>
      <c r="X13" s="23" t="inlineStr">
        <is>
          <t>Partial</t>
        </is>
      </c>
      <c r="Y13" s="23" t="inlineStr">
        <is>
          <t>Yes</t>
        </is>
      </c>
      <c r="Z13" s="22" t="n"/>
      <c r="AA13" s="25" t="n">
        <v>60</v>
      </c>
      <c r="AB13" s="23" t="inlineStr">
        <is>
          <t>Low</t>
        </is>
      </c>
      <c r="AC13" s="23" t="inlineStr">
        <is>
          <t>Medium</t>
        </is>
      </c>
      <c r="AD13" s="23" t="inlineStr">
        <is>
          <t>Partial</t>
        </is>
      </c>
      <c r="AE13" s="23" t="inlineStr">
        <is>
          <t>Retire</t>
        </is>
      </c>
      <c r="AF13" s="23" t="inlineStr">
        <is>
          <t>0–30 days</t>
        </is>
      </c>
      <c r="AG13" s="23" t="inlineStr">
        <is>
          <t>Not started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Product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Engineering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Integrations</t>
        </is>
      </c>
      <c r="C10" s="22" t="inlineStr">
        <is>
          <t>API documentation</t>
        </is>
      </c>
      <c r="D10" s="22" t="inlineStr">
        <is>
          <t>Endpoint references and code samples</t>
        </is>
      </c>
      <c r="E10" s="23" t="inlineStr">
        <is>
          <t>Engineering lead</t>
        </is>
      </c>
      <c r="F10" s="23" t="inlineStr">
        <is>
          <t>Developer portal</t>
        </is>
      </c>
      <c r="G10" s="25" t="n">
        <v>40</v>
      </c>
      <c r="H10" s="25" t="n">
        <v>30</v>
      </c>
      <c r="I10" s="28" t="n">
        <v>1</v>
      </c>
      <c r="J10" s="12">
        <f>IF(OR(H10="",I10=""),"",ROUND(H10*I10,0))</f>
        <v/>
      </c>
      <c r="K10" s="23" t="inlineStr">
        <is>
          <t>Multiple changes</t>
        </is>
      </c>
      <c r="L10" s="23" t="inlineStr">
        <is>
          <t>Low</t>
        </is>
      </c>
      <c r="M10" s="25" t="n">
        <v>8</v>
      </c>
      <c r="N10" s="29" t="n">
        <v>2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Medium</t>
        </is>
      </c>
      <c r="AC10" s="23" t="inlineStr">
        <is>
          <t>Medium</t>
        </is>
      </c>
      <c r="AD10" s="23" t="inlineStr">
        <is>
          <t>Yes</t>
        </is>
      </c>
      <c r="AE10" s="23" t="inlineStr">
        <is>
          <t>Redirect</t>
        </is>
      </c>
      <c r="AF10" s="23" t="inlineStr">
        <is>
          <t>Before cutover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Integrations</t>
        </is>
      </c>
      <c r="C11" s="22" t="inlineStr">
        <is>
          <t>Webhook endpoints</t>
        </is>
      </c>
      <c r="D11" s="22" t="inlineStr">
        <is>
          <t>Callback URLs that customers configure</t>
        </is>
      </c>
      <c r="E11" s="23" t="inlineStr">
        <is>
          <t>Engineering lead</t>
        </is>
      </c>
      <c r="F11" s="23" t="inlineStr">
        <is>
          <t>Platform</t>
        </is>
      </c>
      <c r="G11" s="25" t="n">
        <v>25</v>
      </c>
      <c r="H11" s="25" t="n">
        <v>22</v>
      </c>
      <c r="I11" s="28" t="n">
        <v>0.75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High</t>
        </is>
      </c>
      <c r="M11" s="25" t="n">
        <v>16</v>
      </c>
      <c r="N11" s="29" t="n">
        <v>0.5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Yes</t>
        </is>
      </c>
      <c r="W11" s="23" t="inlineStr">
        <is>
          <t>Yes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60</v>
      </c>
      <c r="AB11" s="23" t="inlineStr">
        <is>
          <t>Critical</t>
        </is>
      </c>
      <c r="AC11" s="23" t="inlineStr">
        <is>
          <t>Critical</t>
        </is>
      </c>
      <c r="AD11" s="23" t="inlineStr">
        <is>
          <t>Partial</t>
        </is>
      </c>
      <c r="AE11" s="23" t="inlineStr">
        <is>
          <t>Update</t>
        </is>
      </c>
      <c r="AF11" s="23" t="inlineStr">
        <is>
          <t>Cutover day</t>
        </is>
      </c>
      <c r="AG11" s="23" t="inlineStr">
        <is>
          <t>Scoping</t>
        </is>
      </c>
      <c r="AH11" s="22" t="n"/>
    </row>
    <row r="12">
      <c r="B12" s="23" t="inlineStr">
        <is>
          <t>Authentication</t>
        </is>
      </c>
      <c r="C12" s="22" t="inlineStr">
        <is>
          <t>Single sign-on settings</t>
        </is>
      </c>
      <c r="D12" s="22" t="inlineStr">
        <is>
          <t>Identity provider setup for the portal</t>
        </is>
      </c>
      <c r="E12" s="23" t="inlineStr">
        <is>
          <t>Platform engineer</t>
        </is>
      </c>
      <c r="F12" s="23" t="inlineStr">
        <is>
          <t>Identity provider</t>
        </is>
      </c>
      <c r="G12" s="25" t="n">
        <v>800</v>
      </c>
      <c r="H12" s="25" t="n">
        <v>600</v>
      </c>
      <c r="I12" s="28" t="n">
        <v>1</v>
      </c>
      <c r="J12" s="12">
        <f>IF(OR(H12="",I12=""),"",ROUND(H12*I12,0))</f>
        <v/>
      </c>
      <c r="K12" s="23" t="inlineStr">
        <is>
          <t>URL / link</t>
        </is>
      </c>
      <c r="L12" s="23" t="inlineStr">
        <is>
          <t>Critical</t>
        </is>
      </c>
      <c r="M12" s="25" t="n">
        <v>8</v>
      </c>
      <c r="N12" s="29" t="n">
        <v>1</v>
      </c>
      <c r="O12" s="25" t="n">
        <v>4</v>
      </c>
      <c r="P12" s="12">
        <f>IF(AND(J12="",M12="",O12=""),"",N(M12)+N(J12)*N(N12)+N(O12))</f>
        <v/>
      </c>
      <c r="Q12" s="30">
        <f>IF(P12="","",P12/Lists!$C$18)</f>
        <v/>
      </c>
      <c r="R12" s="31" t="n">
        <v>95</v>
      </c>
      <c r="S12" s="14">
        <f>IF(OR(P12="",R12=""),"",P12*R12)</f>
        <v/>
      </c>
      <c r="T12" s="32" t="n">
        <v>12000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Yes</t>
        </is>
      </c>
      <c r="X12" s="23" t="inlineStr">
        <is>
          <t>Yes</t>
        </is>
      </c>
      <c r="Y12" s="23" t="inlineStr">
        <is>
          <t>No</t>
        </is>
      </c>
      <c r="Z12" s="22" t="n"/>
      <c r="AA12" s="25" t="n">
        <v>14</v>
      </c>
      <c r="AB12" s="23" t="inlineStr">
        <is>
          <t>High</t>
        </is>
      </c>
      <c r="AC12" s="23" t="inlineStr">
        <is>
          <t>High</t>
        </is>
      </c>
      <c r="AD12" s="23" t="inlineStr">
        <is>
          <t>No</t>
        </is>
      </c>
      <c r="AE12" s="23" t="inlineStr">
        <is>
          <t>Update</t>
        </is>
      </c>
      <c r="AF12" s="23" t="inlineStr">
        <is>
          <t>0–30 days</t>
        </is>
      </c>
      <c r="AG12" s="23" t="inlineStr">
        <is>
          <t>Scoping</t>
        </is>
      </c>
      <c r="AH12" s="22" t="n"/>
    </row>
    <row r="13">
      <c r="B13" s="23" t="inlineStr">
        <is>
          <t>Infrastructure</t>
        </is>
      </c>
      <c r="C13" s="22" t="inlineStr">
        <is>
          <t>Monitoring checks</t>
        </is>
      </c>
      <c r="D13" s="22" t="inlineStr">
        <is>
          <t>Uptime and synthetic checks on portal pages</t>
        </is>
      </c>
      <c r="E13" s="23" t="inlineStr">
        <is>
          <t>SRE lead</t>
        </is>
      </c>
      <c r="F13" s="23" t="inlineStr">
        <is>
          <t>Monitoring tool</t>
        </is>
      </c>
      <c r="G13" s="25" t="n">
        <v>250</v>
      </c>
      <c r="H13" s="25" t="n">
        <v>188</v>
      </c>
      <c r="I13" s="28" t="n">
        <v>1</v>
      </c>
      <c r="J13" s="12">
        <f>IF(OR(H13="",I13=""),"",ROUND(H13*I13,0))</f>
        <v/>
      </c>
      <c r="K13" s="23" t="inlineStr">
        <is>
          <t>Full rebuild</t>
        </is>
      </c>
      <c r="L13" s="23" t="inlineStr">
        <is>
          <t>High</t>
        </is>
      </c>
      <c r="M13" s="25" t="n">
        <v>16</v>
      </c>
      <c r="N13" s="29" t="n">
        <v>2</v>
      </c>
      <c r="O13" s="25" t="n">
        <v>16</v>
      </c>
      <c r="P13" s="12">
        <f>IF(AND(J13="",M13="",O13=""),"",N(M13)+N(J13)*N(N13)+N(O13))</f>
        <v/>
      </c>
      <c r="Q13" s="30">
        <f>IF(P13="","",P13/Lists!$C$18)</f>
        <v/>
      </c>
      <c r="R13" s="31" t="n">
        <v>95</v>
      </c>
      <c r="S13" s="14">
        <f>IF(OR(P13="",R13=""),"",P13*R13)</f>
        <v/>
      </c>
      <c r="T13" s="32" t="n">
        <v>5000</v>
      </c>
      <c r="U13" s="14">
        <f>IF(AND(S13="",T13=""),"",N(S13)+N(T13))</f>
        <v/>
      </c>
      <c r="V13" s="23" t="inlineStr">
        <is>
          <t>No</t>
        </is>
      </c>
      <c r="W13" s="23" t="inlineStr">
        <is>
          <t>Yes</t>
        </is>
      </c>
      <c r="X13" s="23" t="inlineStr">
        <is>
          <t>Yes</t>
        </is>
      </c>
      <c r="Y13" s="23" t="inlineStr">
        <is>
          <t>Yes</t>
        </is>
      </c>
      <c r="Z13" s="22" t="n"/>
      <c r="AA13" s="25" t="n">
        <v>5</v>
      </c>
      <c r="AB13" s="23" t="inlineStr">
        <is>
          <t>Low</t>
        </is>
      </c>
      <c r="AC13" s="23" t="inlineStr">
        <is>
          <t>High</t>
        </is>
      </c>
      <c r="AD13" s="23" t="inlineStr">
        <is>
          <t>No</t>
        </is>
      </c>
      <c r="AE13" s="23" t="inlineStr">
        <is>
          <t>Update</t>
        </is>
      </c>
      <c r="AF13" s="23" t="inlineStr">
        <is>
          <t>Cutover day</t>
        </is>
      </c>
      <c r="AG13" s="23" t="inlineStr">
        <is>
          <t>Validated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Engineering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IT &amp; Security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Network</t>
        </is>
      </c>
      <c r="C10" s="22" t="inlineStr">
        <is>
          <t>DNS records</t>
        </is>
      </c>
      <c r="D10" s="22" t="inlineStr">
        <is>
          <t>Records for the new portal and site hosts</t>
        </is>
      </c>
      <c r="E10" s="23" t="inlineStr">
        <is>
          <t>IT lead</t>
        </is>
      </c>
      <c r="F10" s="23" t="inlineStr">
        <is>
          <t>DNS provider</t>
        </is>
      </c>
      <c r="G10" s="25" t="n">
        <v>800</v>
      </c>
      <c r="H10" s="25" t="n">
        <v>480</v>
      </c>
      <c r="I10" s="28" t="n">
        <v>0.25</v>
      </c>
      <c r="J10" s="12">
        <f>IF(OR(H10="",I10=""),"",ROUND(H10*I10,0))</f>
        <v/>
      </c>
      <c r="K10" s="23" t="inlineStr">
        <is>
          <t>Technical configuration</t>
        </is>
      </c>
      <c r="L10" s="23" t="inlineStr">
        <is>
          <t>Medium</t>
        </is>
      </c>
      <c r="M10" s="25" t="n">
        <v>16</v>
      </c>
      <c r="N10" s="29" t="n">
        <v>4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5000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Yes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Critical</t>
        </is>
      </c>
      <c r="AC10" s="23" t="inlineStr">
        <is>
          <t>High</t>
        </is>
      </c>
      <c r="AD10" s="23" t="inlineStr">
        <is>
          <t>No</t>
        </is>
      </c>
      <c r="AE10" s="23" t="inlineStr">
        <is>
          <t>Merge</t>
        </is>
      </c>
      <c r="AF10" s="23" t="inlineStr">
        <is>
          <t>31–90 days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Security</t>
        </is>
      </c>
      <c r="C11" s="22" t="inlineStr">
        <is>
          <t>TLS certificates</t>
        </is>
      </c>
      <c r="D11" s="22" t="inlineStr">
        <is>
          <t>Certificates for the new hosts</t>
        </is>
      </c>
      <c r="E11" s="23" t="inlineStr">
        <is>
          <t>Security engineer</t>
        </is>
      </c>
      <c r="F11" s="23" t="inlineStr">
        <is>
          <t>Certificate manager</t>
        </is>
      </c>
      <c r="G11" s="25" t="n">
        <v>4</v>
      </c>
      <c r="H11" s="25" t="n">
        <v>3</v>
      </c>
      <c r="I11" s="28" t="n">
        <v>1</v>
      </c>
      <c r="J11" s="12">
        <f>IF(OR(H11="",I11=""),"",ROUND(H11*I11,0))</f>
        <v/>
      </c>
      <c r="K11" s="23" t="inlineStr">
        <is>
          <t>URL / link</t>
        </is>
      </c>
      <c r="L11" s="23" t="inlineStr">
        <is>
          <t>Critical</t>
        </is>
      </c>
      <c r="M11" s="25" t="n">
        <v>4</v>
      </c>
      <c r="N11" s="29" t="n">
        <v>1</v>
      </c>
      <c r="O11" s="25" t="n">
        <v>2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>
        <v>12000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Yes</t>
        </is>
      </c>
      <c r="X11" s="23" t="inlineStr">
        <is>
          <t>Yes</t>
        </is>
      </c>
      <c r="Y11" s="23" t="inlineStr">
        <is>
          <t>No</t>
        </is>
      </c>
      <c r="Z11" s="22" t="n"/>
      <c r="AA11" s="25" t="n">
        <v>5</v>
      </c>
      <c r="AB11" s="23" t="inlineStr">
        <is>
          <t>Critical</t>
        </is>
      </c>
      <c r="AC11" s="23" t="inlineStr">
        <is>
          <t>Critical</t>
        </is>
      </c>
      <c r="AD11" s="23" t="inlineStr">
        <is>
          <t>Yes</t>
        </is>
      </c>
      <c r="AE11" s="23" t="inlineStr">
        <is>
          <t>Update</t>
        </is>
      </c>
      <c r="AF11" s="23" t="inlineStr">
        <is>
          <t>Cutover day</t>
        </is>
      </c>
      <c r="AG11" s="23" t="inlineStr">
        <is>
          <t>Validated</t>
        </is>
      </c>
      <c r="AH11" s="22" t="n"/>
    </row>
    <row r="12">
      <c r="B12" s="23" t="inlineStr">
        <is>
          <t>Security</t>
        </is>
      </c>
      <c r="C12" s="22" t="inlineStr">
        <is>
          <t>Allowlists</t>
        </is>
      </c>
      <c r="D12" s="22" t="inlineStr">
        <is>
          <t>Firewall and proxy rules that name portal hosts</t>
        </is>
      </c>
      <c r="E12" s="23" t="inlineStr">
        <is>
          <t>Security engineer</t>
        </is>
      </c>
      <c r="F12" s="23" t="inlineStr">
        <is>
          <t>Firewall</t>
        </is>
      </c>
      <c r="G12" s="25" t="n">
        <v>12</v>
      </c>
      <c r="H12" s="25" t="n">
        <v>12</v>
      </c>
      <c r="I12" s="28" t="n">
        <v>0.25</v>
      </c>
      <c r="J12" s="12">
        <f>IF(OR(H12="",I12=""),"",ROUND(H12*I12,0))</f>
        <v/>
      </c>
      <c r="K12" s="23" t="inlineStr">
        <is>
          <t>URL / link</t>
        </is>
      </c>
      <c r="L12" s="23" t="inlineStr">
        <is>
          <t>Critical</t>
        </is>
      </c>
      <c r="M12" s="25" t="n">
        <v>4</v>
      </c>
      <c r="N12" s="29" t="n">
        <v>2</v>
      </c>
      <c r="O12" s="25" t="n">
        <v>2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>
        <v>12000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10</v>
      </c>
      <c r="AB12" s="23" t="inlineStr">
        <is>
          <t>High</t>
        </is>
      </c>
      <c r="AC12" s="23" t="inlineStr">
        <is>
          <t>Critical</t>
        </is>
      </c>
      <c r="AD12" s="23" t="inlineStr">
        <is>
          <t>Partial</t>
        </is>
      </c>
      <c r="AE12" s="23" t="inlineStr">
        <is>
          <t>Update</t>
        </is>
      </c>
      <c r="AF12" s="23" t="inlineStr">
        <is>
          <t>31–90 days</t>
        </is>
      </c>
      <c r="AG12" s="23" t="inlineStr">
        <is>
          <t>Scoping</t>
        </is>
      </c>
      <c r="AH12" s="22" t="n"/>
    </row>
    <row r="13">
      <c r="B13" s="23" t="inlineStr">
        <is>
          <t>Workplace</t>
        </is>
      </c>
      <c r="C13" s="22" t="inlineStr">
        <is>
          <t>Intranet links</t>
        </is>
      </c>
      <c r="D13" s="22" t="inlineStr">
        <is>
          <t>Intranet pages and bookmarks that point to the portal</t>
        </is>
      </c>
      <c r="E13" s="23" t="inlineStr">
        <is>
          <t>IT service desk</t>
        </is>
      </c>
      <c r="F13" s="23" t="inlineStr">
        <is>
          <t>Intranet</t>
        </is>
      </c>
      <c r="G13" s="25" t="n">
        <v>250</v>
      </c>
      <c r="H13" s="25" t="n">
        <v>150</v>
      </c>
      <c r="I13" s="28" t="n">
        <v>0.25</v>
      </c>
      <c r="J13" s="12">
        <f>IF(OR(H13="",I13=""),"",ROUND(H13*I13,0))</f>
        <v/>
      </c>
      <c r="K13" s="23" t="inlineStr">
        <is>
          <t>Legal text</t>
        </is>
      </c>
      <c r="L13" s="23" t="inlineStr">
        <is>
          <t>Critical</t>
        </is>
      </c>
      <c r="M13" s="25" t="n">
        <v>24</v>
      </c>
      <c r="N13" s="29" t="n">
        <v>4</v>
      </c>
      <c r="O13" s="25" t="n">
        <v>4</v>
      </c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>
        <v>12000</v>
      </c>
      <c r="U13" s="14">
        <f>IF(AND(S13="",T13=""),"",N(S13)+N(T13))</f>
        <v/>
      </c>
      <c r="V13" s="23" t="inlineStr">
        <is>
          <t>Partial</t>
        </is>
      </c>
      <c r="W13" s="23" t="inlineStr">
        <is>
          <t>No</t>
        </is>
      </c>
      <c r="X13" s="23" t="inlineStr">
        <is>
          <t>Partial</t>
        </is>
      </c>
      <c r="Y13" s="23" t="inlineStr">
        <is>
          <t>No</t>
        </is>
      </c>
      <c r="Z13" s="22" t="n"/>
      <c r="AA13" s="25" t="n">
        <v>14</v>
      </c>
      <c r="AB13" s="23" t="inlineStr">
        <is>
          <t>Medium</t>
        </is>
      </c>
      <c r="AC13" s="23" t="inlineStr">
        <is>
          <t>Low</t>
        </is>
      </c>
      <c r="AD13" s="23" t="inlineStr">
        <is>
          <t>Partial</t>
        </is>
      </c>
      <c r="AE13" s="23" t="inlineStr">
        <is>
          <t>Update</t>
        </is>
      </c>
      <c r="AF13" s="23" t="inlineStr">
        <is>
          <t>Cutover day</t>
        </is>
      </c>
      <c r="AG13" s="23" t="inlineStr">
        <is>
          <t>Scoping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IT &amp; Security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Legal &amp; Privacy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Policies</t>
        </is>
      </c>
      <c r="C10" s="22" t="inlineStr">
        <is>
          <t>Privacy notice</t>
        </is>
      </c>
      <c r="D10" s="22" t="inlineStr">
        <is>
          <t>Notice covering the new platform and its processors</t>
        </is>
      </c>
      <c r="E10" s="23" t="inlineStr">
        <is>
          <t>Privacy counsel</t>
        </is>
      </c>
      <c r="F10" s="23" t="inlineStr">
        <is>
          <t>Website</t>
        </is>
      </c>
      <c r="G10" s="25" t="n">
        <v>250</v>
      </c>
      <c r="H10" s="25" t="n">
        <v>188</v>
      </c>
      <c r="I10" s="28" t="n">
        <v>0.5</v>
      </c>
      <c r="J10" s="12">
        <f>IF(OR(H10="",I10=""),"",ROUND(H10*I10,0))</f>
        <v/>
      </c>
      <c r="K10" s="23" t="inlineStr">
        <is>
          <t>Technical configuration</t>
        </is>
      </c>
      <c r="L10" s="23" t="inlineStr">
        <is>
          <t>Low</t>
        </is>
      </c>
      <c r="M10" s="25" t="n">
        <v>24</v>
      </c>
      <c r="N10" s="29" t="n">
        <v>4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12000</v>
      </c>
      <c r="U10" s="14">
        <f>IF(AND(S10="",T10=""),"",N(S10)+N(T10))</f>
        <v/>
      </c>
      <c r="V10" s="23" t="inlineStr">
        <is>
          <t>Partial</t>
        </is>
      </c>
      <c r="W10" s="23" t="inlineStr">
        <is>
          <t>Yes</t>
        </is>
      </c>
      <c r="X10" s="23" t="inlineStr">
        <is>
          <t>Yes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Critical</t>
        </is>
      </c>
      <c r="AC10" s="23" t="inlineStr">
        <is>
          <t>Medium</t>
        </is>
      </c>
      <c r="AD10" s="23" t="inlineStr">
        <is>
          <t>Partial</t>
        </is>
      </c>
      <c r="AE10" s="23" t="inlineStr">
        <is>
          <t>Update</t>
        </is>
      </c>
      <c r="AF10" s="23" t="inlineStr">
        <is>
          <t>Before cutover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Policies</t>
        </is>
      </c>
      <c r="C11" s="22" t="inlineStr">
        <is>
          <t>Cookie consent</t>
        </is>
      </c>
      <c r="D11" s="22" t="inlineStr">
        <is>
          <t>Consent tool set-up on the new site</t>
        </is>
      </c>
      <c r="E11" s="23" t="inlineStr">
        <is>
          <t>Privacy counsel</t>
        </is>
      </c>
      <c r="F11" s="23" t="inlineStr">
        <is>
          <t>Consent platform</t>
        </is>
      </c>
      <c r="G11" s="25" t="n">
        <v>12</v>
      </c>
      <c r="H11" s="25" t="n">
        <v>7</v>
      </c>
      <c r="I11" s="28" t="n">
        <v>0.75</v>
      </c>
      <c r="J11" s="12">
        <f>IF(OR(H11="",I11=""),"",ROUND(H11*I11,0))</f>
        <v/>
      </c>
      <c r="K11" s="23" t="inlineStr">
        <is>
          <t>Technical configuration</t>
        </is>
      </c>
      <c r="L11" s="23" t="inlineStr">
        <is>
          <t>Medium</t>
        </is>
      </c>
      <c r="M11" s="25" t="n">
        <v>16</v>
      </c>
      <c r="N11" s="29" t="n">
        <v>0.5</v>
      </c>
      <c r="O11" s="25" t="n">
        <v>8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Partial</t>
        </is>
      </c>
      <c r="W11" s="23" t="inlineStr">
        <is>
          <t>No</t>
        </is>
      </c>
      <c r="X11" s="23" t="inlineStr">
        <is>
          <t>Yes</t>
        </is>
      </c>
      <c r="Y11" s="23" t="inlineStr">
        <is>
          <t>Yes</t>
        </is>
      </c>
      <c r="Z11" s="22" t="n"/>
      <c r="AA11" s="25" t="n">
        <v>14</v>
      </c>
      <c r="AB11" s="23" t="inlineStr">
        <is>
          <t>Medium</t>
        </is>
      </c>
      <c r="AC11" s="23" t="inlineStr">
        <is>
          <t>Low</t>
        </is>
      </c>
      <c r="AD11" s="23" t="inlineStr">
        <is>
          <t>No</t>
        </is>
      </c>
      <c r="AE11" s="23" t="inlineStr">
        <is>
          <t>Redirect</t>
        </is>
      </c>
      <c r="AF11" s="23" t="inlineStr">
        <is>
          <t>Before cutover</t>
        </is>
      </c>
      <c r="AG11" s="23" t="inlineStr">
        <is>
          <t>Validated</t>
        </is>
      </c>
      <c r="AH11" s="22" t="n"/>
    </row>
    <row r="12">
      <c r="B12" s="23" t="inlineStr">
        <is>
          <t>Contracts</t>
        </is>
      </c>
      <c r="C12" s="22" t="inlineStr">
        <is>
          <t>Order form links</t>
        </is>
      </c>
      <c r="D12" s="22" t="inlineStr">
        <is>
          <t>Order forms that point to online terms</t>
        </is>
      </c>
      <c r="E12" s="23" t="inlineStr">
        <is>
          <t>Commercial counsel</t>
        </is>
      </c>
      <c r="F12" s="23" t="inlineStr">
        <is>
          <t>Contract system</t>
        </is>
      </c>
      <c r="G12" s="25" t="n">
        <v>250</v>
      </c>
      <c r="H12" s="25" t="n">
        <v>225</v>
      </c>
      <c r="I12" s="28" t="n">
        <v>0.75</v>
      </c>
      <c r="J12" s="12">
        <f>IF(OR(H12="",I12=""),"",ROUND(H12*I12,0))</f>
        <v/>
      </c>
      <c r="K12" s="23" t="inlineStr">
        <is>
          <t>Legal text</t>
        </is>
      </c>
      <c r="L12" s="23" t="inlineStr">
        <is>
          <t>Critical</t>
        </is>
      </c>
      <c r="M12" s="25" t="n">
        <v>16</v>
      </c>
      <c r="N12" s="29" t="n">
        <v>1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Partial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14</v>
      </c>
      <c r="AB12" s="23" t="inlineStr">
        <is>
          <t>Low</t>
        </is>
      </c>
      <c r="AC12" s="23" t="inlineStr">
        <is>
          <t>High</t>
        </is>
      </c>
      <c r="AD12" s="23" t="inlineStr">
        <is>
          <t>Partial</t>
        </is>
      </c>
      <c r="AE12" s="23" t="inlineStr">
        <is>
          <t>Merge</t>
        </is>
      </c>
      <c r="AF12" s="23" t="inlineStr">
        <is>
          <t>Cutover day</t>
        </is>
      </c>
      <c r="AG12" s="23" t="inlineStr">
        <is>
          <t>Validated</t>
        </is>
      </c>
      <c r="AH12" s="22" t="n"/>
    </row>
    <row r="13">
      <c r="B13" s="23" t="inlineStr">
        <is>
          <t>Vendors</t>
        </is>
      </c>
      <c r="C13" s="22" t="inlineStr">
        <is>
          <t>Data processing agreements</t>
        </is>
      </c>
      <c r="D13" s="22" t="inlineStr">
        <is>
          <t>Agreement updates for the new hosting vendor</t>
        </is>
      </c>
      <c r="E13" s="23" t="inlineStr">
        <is>
          <t>Privacy counsel</t>
        </is>
      </c>
      <c r="F13" s="23" t="inlineStr">
        <is>
          <t>Contract system</t>
        </is>
      </c>
      <c r="G13" s="25" t="n">
        <v>25</v>
      </c>
      <c r="H13" s="25" t="n">
        <v>19</v>
      </c>
      <c r="I13" s="28" t="n">
        <v>0.75</v>
      </c>
      <c r="J13" s="12">
        <f>IF(OR(H13="",I13=""),"",ROUND(H13*I13,0))</f>
        <v/>
      </c>
      <c r="K13" s="23" t="inlineStr">
        <is>
          <t>URL / link</t>
        </is>
      </c>
      <c r="L13" s="23" t="inlineStr">
        <is>
          <t>Medium</t>
        </is>
      </c>
      <c r="M13" s="25" t="n">
        <v>8</v>
      </c>
      <c r="N13" s="29" t="n">
        <v>4</v>
      </c>
      <c r="O13" s="25" t="n">
        <v>8</v>
      </c>
      <c r="P13" s="12">
        <f>IF(AND(J13="",M13="",O13=""),"",N(M13)+N(J13)*N(N13)+N(O13))</f>
        <v/>
      </c>
      <c r="Q13" s="30">
        <f>IF(P13="","",P13/Lists!$C$18)</f>
        <v/>
      </c>
      <c r="R13" s="31" t="n">
        <v>85</v>
      </c>
      <c r="S13" s="14">
        <f>IF(OR(P13="",R13=""),"",P13*R13)</f>
        <v/>
      </c>
      <c r="T13" s="32" t="n"/>
      <c r="U13" s="14">
        <f>IF(AND(S13="",T13=""),"",N(S13)+N(T13))</f>
        <v/>
      </c>
      <c r="V13" s="23" t="inlineStr">
        <is>
          <t>No</t>
        </is>
      </c>
      <c r="W13" s="23" t="inlineStr">
        <is>
          <t>No</t>
        </is>
      </c>
      <c r="X13" s="23" t="inlineStr">
        <is>
          <t>Yes</t>
        </is>
      </c>
      <c r="Y13" s="23" t="inlineStr">
        <is>
          <t>Yes</t>
        </is>
      </c>
      <c r="Z13" s="22" t="n"/>
      <c r="AA13" s="25" t="n">
        <v>10</v>
      </c>
      <c r="AB13" s="23" t="inlineStr">
        <is>
          <t>Critical</t>
        </is>
      </c>
      <c r="AC13" s="23" t="inlineStr">
        <is>
          <t>Medium</t>
        </is>
      </c>
      <c r="AD13" s="23" t="inlineStr">
        <is>
          <t>No</t>
        </is>
      </c>
      <c r="AE13" s="23" t="inlineStr">
        <is>
          <t>Update</t>
        </is>
      </c>
      <c r="AF13" s="23" t="inlineStr">
        <is>
          <t>Before cutover</t>
        </is>
      </c>
      <c r="AG13" s="23" t="inlineStr">
        <is>
          <t>Validated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Legal &amp; Privacy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Sales Enablement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Templates</t>
        </is>
      </c>
      <c r="C10" s="22" t="inlineStr">
        <is>
          <t>Proposal templates</t>
        </is>
      </c>
      <c r="D10" s="22" t="inlineStr">
        <is>
          <t>Proposals with portal screenshots and links</t>
        </is>
      </c>
      <c r="E10" s="23" t="inlineStr">
        <is>
          <t>Enablement lead</t>
        </is>
      </c>
      <c r="F10" s="23" t="inlineStr">
        <is>
          <t>Content hub</t>
        </is>
      </c>
      <c r="G10" s="25" t="n">
        <v>12</v>
      </c>
      <c r="H10" s="25" t="n">
        <v>7</v>
      </c>
      <c r="I10" s="28" t="n">
        <v>0.5</v>
      </c>
      <c r="J10" s="12">
        <f>IF(OR(H10="",I10=""),"",ROUND(H10*I10,0))</f>
        <v/>
      </c>
      <c r="K10" s="23" t="inlineStr">
        <is>
          <t>Multiple changes</t>
        </is>
      </c>
      <c r="L10" s="23" t="inlineStr">
        <is>
          <t>High</t>
        </is>
      </c>
      <c r="M10" s="25" t="n">
        <v>24</v>
      </c>
      <c r="N10" s="29" t="n">
        <v>1</v>
      </c>
      <c r="O10" s="25" t="n">
        <v>4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30000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14</v>
      </c>
      <c r="AB10" s="23" t="inlineStr">
        <is>
          <t>Low</t>
        </is>
      </c>
      <c r="AC10" s="23" t="inlineStr">
        <is>
          <t>Medium</t>
        </is>
      </c>
      <c r="AD10" s="23" t="inlineStr">
        <is>
          <t>No</t>
        </is>
      </c>
      <c r="AE10" s="23" t="inlineStr">
        <is>
          <t>Merge</t>
        </is>
      </c>
      <c r="AF10" s="23" t="inlineStr">
        <is>
          <t>Cutover day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Training</t>
        </is>
      </c>
      <c r="C11" s="22" t="inlineStr">
        <is>
          <t>Sales training modules</t>
        </is>
      </c>
      <c r="D11" s="22" t="inlineStr">
        <is>
          <t>Courses that demo the portal</t>
        </is>
      </c>
      <c r="E11" s="23" t="inlineStr">
        <is>
          <t>Enablement lead</t>
        </is>
      </c>
      <c r="F11" s="23" t="inlineStr">
        <is>
          <t>Learning platform</t>
        </is>
      </c>
      <c r="G11" s="25" t="n">
        <v>60</v>
      </c>
      <c r="H11" s="25" t="n">
        <v>54</v>
      </c>
      <c r="I11" s="28" t="n">
        <v>0.75</v>
      </c>
      <c r="J11" s="12">
        <f>IF(OR(H11="",I11=""),"",ROUND(H11*I11,0))</f>
        <v/>
      </c>
      <c r="K11" s="23" t="inlineStr">
        <is>
          <t>Multiple changes</t>
        </is>
      </c>
      <c r="L11" s="23" t="inlineStr">
        <is>
          <t>Critical</t>
        </is>
      </c>
      <c r="M11" s="25" t="n">
        <v>24</v>
      </c>
      <c r="N11" s="29" t="n">
        <v>4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>
        <v>12000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Yes</t>
        </is>
      </c>
      <c r="Y11" s="23" t="inlineStr">
        <is>
          <t>No</t>
        </is>
      </c>
      <c r="Z11" s="22" t="n"/>
      <c r="AA11" s="25" t="n">
        <v>10</v>
      </c>
      <c r="AB11" s="23" t="inlineStr">
        <is>
          <t>Critical</t>
        </is>
      </c>
      <c r="AC11" s="23" t="inlineStr">
        <is>
          <t>Critical</t>
        </is>
      </c>
      <c r="AD11" s="23" t="inlineStr">
        <is>
          <t>Partial</t>
        </is>
      </c>
      <c r="AE11" s="23" t="inlineStr">
        <is>
          <t>Merge</t>
        </is>
      </c>
      <c r="AF11" s="23" t="inlineStr">
        <is>
          <t>31–90 days</t>
        </is>
      </c>
      <c r="AG11" s="23" t="inlineStr">
        <is>
          <t>Scoping</t>
        </is>
      </c>
      <c r="AH11" s="22" t="n"/>
    </row>
    <row r="12">
      <c r="B12" s="23" t="inlineStr">
        <is>
          <t>Collateral</t>
        </is>
      </c>
      <c r="C12" s="22" t="inlineStr">
        <is>
          <t>Product one-pagers</t>
        </is>
      </c>
      <c r="D12" s="22" t="inlineStr">
        <is>
          <t>Sell sheets with URLs and QR codes</t>
        </is>
      </c>
      <c r="E12" s="23" t="inlineStr">
        <is>
          <t>Enablement lead</t>
        </is>
      </c>
      <c r="F12" s="23" t="inlineStr">
        <is>
          <t>Content hub</t>
        </is>
      </c>
      <c r="G12" s="25" t="n">
        <v>4</v>
      </c>
      <c r="H12" s="25" t="n">
        <v>4</v>
      </c>
      <c r="I12" s="28" t="n">
        <v>0.25</v>
      </c>
      <c r="J12" s="12">
        <f>IF(OR(H12="",I12=""),"",ROUND(H12*I12,0))</f>
        <v/>
      </c>
      <c r="K12" s="23" t="inlineStr">
        <is>
          <t>Content update</t>
        </is>
      </c>
      <c r="L12" s="23" t="inlineStr">
        <is>
          <t>Low</t>
        </is>
      </c>
      <c r="M12" s="25" t="n">
        <v>4</v>
      </c>
      <c r="N12" s="29" t="n">
        <v>0.5</v>
      </c>
      <c r="O12" s="25" t="n">
        <v>4</v>
      </c>
      <c r="P12" s="12">
        <f>IF(AND(J12="",M12="",O12=""),"",N(M12)+N(J12)*N(N12)+N(O12))</f>
        <v/>
      </c>
      <c r="Q12" s="30">
        <f>IF(P12="","",P12/Lists!$C$18)</f>
        <v/>
      </c>
      <c r="R12" s="31" t="n">
        <v>95</v>
      </c>
      <c r="S12" s="14">
        <f>IF(OR(P12="",R12=""),"",P12*R12)</f>
        <v/>
      </c>
      <c r="T12" s="32" t="n">
        <v>30000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Yes</t>
        </is>
      </c>
      <c r="X12" s="23" t="inlineStr">
        <is>
          <t>Yes</t>
        </is>
      </c>
      <c r="Y12" s="23" t="inlineStr">
        <is>
          <t>No</t>
        </is>
      </c>
      <c r="Z12" s="22" t="n"/>
      <c r="AA12" s="25" t="n">
        <v>45</v>
      </c>
      <c r="AB12" s="23" t="inlineStr">
        <is>
          <t>Medium</t>
        </is>
      </c>
      <c r="AC12" s="23" t="inlineStr">
        <is>
          <t>Low</t>
        </is>
      </c>
      <c r="AD12" s="23" t="inlineStr">
        <is>
          <t>Yes</t>
        </is>
      </c>
      <c r="AE12" s="23" t="inlineStr">
        <is>
          <t>Redirect</t>
        </is>
      </c>
      <c r="AF12" s="23" t="inlineStr">
        <is>
          <t>Before cutover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Sales Enablement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Sales &amp; RevOps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CRM</t>
        </is>
      </c>
      <c r="C10" s="22" t="inlineStr">
        <is>
          <t>Email sequences</t>
        </is>
      </c>
      <c r="D10" s="22" t="inlineStr">
        <is>
          <t>Sales sequences with portal links</t>
        </is>
      </c>
      <c r="E10" s="23" t="inlineStr">
        <is>
          <t>RevOps manager</t>
        </is>
      </c>
      <c r="F10" s="23" t="inlineStr">
        <is>
          <t>CRM</t>
        </is>
      </c>
      <c r="G10" s="25" t="n">
        <v>120</v>
      </c>
      <c r="H10" s="25" t="n">
        <v>120</v>
      </c>
      <c r="I10" s="28" t="n">
        <v>1</v>
      </c>
      <c r="J10" s="12">
        <f>IF(OR(H10="",I10=""),"",ROUND(H10*I10,0))</f>
        <v/>
      </c>
      <c r="K10" s="23" t="inlineStr">
        <is>
          <t>URL / link</t>
        </is>
      </c>
      <c r="L10" s="23" t="inlineStr">
        <is>
          <t>Medium</t>
        </is>
      </c>
      <c r="M10" s="25" t="n">
        <v>16</v>
      </c>
      <c r="N10" s="29" t="n">
        <v>1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5000</v>
      </c>
      <c r="U10" s="14">
        <f>IF(AND(S10="",T10=""),"",N(S10)+N(T10))</f>
        <v/>
      </c>
      <c r="V10" s="23" t="inlineStr">
        <is>
          <t>Partial</t>
        </is>
      </c>
      <c r="W10" s="23" t="inlineStr">
        <is>
          <t>Yes</t>
        </is>
      </c>
      <c r="X10" s="23" t="inlineStr">
        <is>
          <t>No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45</v>
      </c>
      <c r="AB10" s="23" t="inlineStr">
        <is>
          <t>Low</t>
        </is>
      </c>
      <c r="AC10" s="23" t="inlineStr">
        <is>
          <t>Medium</t>
        </is>
      </c>
      <c r="AD10" s="23" t="inlineStr">
        <is>
          <t>Partial</t>
        </is>
      </c>
      <c r="AE10" s="23" t="inlineStr">
        <is>
          <t>Update</t>
        </is>
      </c>
      <c r="AF10" s="23" t="inlineStr">
        <is>
          <t>31–90 days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CRM</t>
        </is>
      </c>
      <c r="C11" s="22" t="inlineStr">
        <is>
          <t>Quote templates</t>
        </is>
      </c>
      <c r="D11" s="22" t="inlineStr">
        <is>
          <t>Quotes with links to online terms</t>
        </is>
      </c>
      <c r="E11" s="23" t="inlineStr">
        <is>
          <t>RevOps manager</t>
        </is>
      </c>
      <c r="F11" s="23" t="inlineStr">
        <is>
          <t>Quoting tool</t>
        </is>
      </c>
      <c r="G11" s="25" t="n">
        <v>40</v>
      </c>
      <c r="H11" s="25" t="n">
        <v>36</v>
      </c>
      <c r="I11" s="28" t="n">
        <v>0.5</v>
      </c>
      <c r="J11" s="12">
        <f>IF(OR(H11="",I11=""),"",ROUND(H11*I11,0))</f>
        <v/>
      </c>
      <c r="K11" s="23" t="inlineStr">
        <is>
          <t>Visual update</t>
        </is>
      </c>
      <c r="L11" s="23" t="inlineStr">
        <is>
          <t>Medium</t>
        </is>
      </c>
      <c r="M11" s="25" t="n">
        <v>8</v>
      </c>
      <c r="N11" s="29" t="n">
        <v>2</v>
      </c>
      <c r="O11" s="25" t="n">
        <v>2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60</v>
      </c>
      <c r="AB11" s="23" t="inlineStr">
        <is>
          <t>Medium</t>
        </is>
      </c>
      <c r="AC11" s="23" t="inlineStr">
        <is>
          <t>Medium</t>
        </is>
      </c>
      <c r="AD11" s="23" t="inlineStr">
        <is>
          <t>Yes</t>
        </is>
      </c>
      <c r="AE11" s="23" t="inlineStr">
        <is>
          <t>Retire</t>
        </is>
      </c>
      <c r="AF11" s="23" t="inlineStr">
        <is>
          <t>0–30 days</t>
        </is>
      </c>
      <c r="AG11" s="23" t="inlineStr">
        <is>
          <t>Not started</t>
        </is>
      </c>
      <c r="AH11" s="22" t="n"/>
    </row>
    <row r="12">
      <c r="B12" s="23" t="inlineStr">
        <is>
          <t>Reporting</t>
        </is>
      </c>
      <c r="C12" s="22" t="inlineStr">
        <is>
          <t>Pipeline dashboards</t>
        </is>
      </c>
      <c r="D12" s="22" t="inlineStr">
        <is>
          <t>Dashboards that track portal sign-ups</t>
        </is>
      </c>
      <c r="E12" s="23" t="inlineStr">
        <is>
          <t>RevOps analyst</t>
        </is>
      </c>
      <c r="F12" s="23" t="inlineStr">
        <is>
          <t>BI tool</t>
        </is>
      </c>
      <c r="G12" s="25" t="n">
        <v>800</v>
      </c>
      <c r="H12" s="25" t="n">
        <v>800</v>
      </c>
      <c r="I12" s="28" t="n">
        <v>0.75</v>
      </c>
      <c r="J12" s="12">
        <f>IF(OR(H12="",I12=""),"",ROUND(H12*I12,0))</f>
        <v/>
      </c>
      <c r="K12" s="23" t="inlineStr">
        <is>
          <t>Full rebuild</t>
        </is>
      </c>
      <c r="L12" s="23" t="inlineStr">
        <is>
          <t>Critical</t>
        </is>
      </c>
      <c r="M12" s="25" t="n">
        <v>16</v>
      </c>
      <c r="N12" s="29" t="n">
        <v>2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>
        <v>30000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Yes</t>
        </is>
      </c>
      <c r="Y12" s="23" t="inlineStr">
        <is>
          <t>No</t>
        </is>
      </c>
      <c r="Z12" s="22" t="n"/>
      <c r="AA12" s="25" t="n">
        <v>45</v>
      </c>
      <c r="AB12" s="23" t="inlineStr">
        <is>
          <t>High</t>
        </is>
      </c>
      <c r="AC12" s="23" t="inlineStr">
        <is>
          <t>Critical</t>
        </is>
      </c>
      <c r="AD12" s="23" t="inlineStr">
        <is>
          <t>Yes</t>
        </is>
      </c>
      <c r="AE12" s="23" t="inlineStr">
        <is>
          <t>Redirect</t>
        </is>
      </c>
      <c r="AF12" s="23" t="inlineStr">
        <is>
          <t>Before cutover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Sales &amp; RevOps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Customer Success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Onboarding</t>
        </is>
      </c>
      <c r="C10" s="22" t="inlineStr">
        <is>
          <t>Onboarding guides</t>
        </is>
      </c>
      <c r="D10" s="22" t="inlineStr">
        <is>
          <t>Welcome packs and getting-started guides</t>
        </is>
      </c>
      <c r="E10" s="23" t="inlineStr">
        <is>
          <t>CS operations</t>
        </is>
      </c>
      <c r="F10" s="23" t="inlineStr">
        <is>
          <t>Content hub</t>
        </is>
      </c>
      <c r="G10" s="25" t="n">
        <v>12</v>
      </c>
      <c r="H10" s="25" t="n">
        <v>7</v>
      </c>
      <c r="I10" s="28" t="n">
        <v>0.5</v>
      </c>
      <c r="J10" s="12">
        <f>IF(OR(H10="",I10=""),"",ROUND(H10*I10,0))</f>
        <v/>
      </c>
      <c r="K10" s="23" t="inlineStr">
        <is>
          <t>Full rebuild</t>
        </is>
      </c>
      <c r="L10" s="23" t="inlineStr">
        <is>
          <t>Critical</t>
        </is>
      </c>
      <c r="M10" s="25" t="n">
        <v>16</v>
      </c>
      <c r="N10" s="29" t="n">
        <v>0.5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/>
      <c r="S10" s="14">
        <f>IF(OR(P10="",R10=""),"",P10*R10)</f>
        <v/>
      </c>
      <c r="T10" s="32" t="n">
        <v>5000</v>
      </c>
      <c r="U10" s="14">
        <f>IF(AND(S10="",T10=""),"",N(S10)+N(T10))</f>
        <v/>
      </c>
      <c r="V10" s="23" t="inlineStr">
        <is>
          <t>Partial</t>
        </is>
      </c>
      <c r="W10" s="23" t="inlineStr">
        <is>
          <t>Yes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60</v>
      </c>
      <c r="AB10" s="23" t="inlineStr">
        <is>
          <t>Medium</t>
        </is>
      </c>
      <c r="AC10" s="23" t="inlineStr">
        <is>
          <t>Critical</t>
        </is>
      </c>
      <c r="AD10" s="23" t="inlineStr">
        <is>
          <t>Partial</t>
        </is>
      </c>
      <c r="AE10" s="23" t="inlineStr">
        <is>
          <t>Merge</t>
        </is>
      </c>
      <c r="AF10" s="23" t="inlineStr">
        <is>
          <t>Before cutover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Communications</t>
        </is>
      </c>
      <c r="C11" s="22" t="inlineStr">
        <is>
          <t>Customer notices</t>
        </is>
      </c>
      <c r="D11" s="22" t="inlineStr">
        <is>
          <t>Advance notice of the move and what changes</t>
        </is>
      </c>
      <c r="E11" s="23" t="inlineStr">
        <is>
          <t>CS director</t>
        </is>
      </c>
      <c r="F11" s="23" t="inlineStr">
        <is>
          <t>Email platform</t>
        </is>
      </c>
      <c r="G11" s="25" t="n">
        <v>800</v>
      </c>
      <c r="H11" s="25" t="n">
        <v>800</v>
      </c>
      <c r="I11" s="28" t="n">
        <v>0.25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Medium</t>
        </is>
      </c>
      <c r="M11" s="25" t="n">
        <v>40</v>
      </c>
      <c r="N11" s="29" t="n">
        <v>0.5</v>
      </c>
      <c r="O11" s="25" t="n">
        <v>16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Yes</t>
        </is>
      </c>
      <c r="Z11" s="22" t="n"/>
      <c r="AA11" s="25" t="n">
        <v>14</v>
      </c>
      <c r="AB11" s="23" t="inlineStr">
        <is>
          <t>Critical</t>
        </is>
      </c>
      <c r="AC11" s="23" t="inlineStr">
        <is>
          <t>Medium</t>
        </is>
      </c>
      <c r="AD11" s="23" t="inlineStr">
        <is>
          <t>No</t>
        </is>
      </c>
      <c r="AE11" s="23" t="inlineStr">
        <is>
          <t>Update</t>
        </is>
      </c>
      <c r="AF11" s="23" t="inlineStr">
        <is>
          <t>Before cutover</t>
        </is>
      </c>
      <c r="AG11" s="23" t="inlineStr">
        <is>
          <t>Scoping</t>
        </is>
      </c>
      <c r="AH11" s="22" t="n"/>
    </row>
    <row r="12">
      <c r="B12" s="23" t="inlineStr">
        <is>
          <t>Accounts</t>
        </is>
      </c>
      <c r="C12" s="22" t="inlineStr">
        <is>
          <t>Success plans</t>
        </is>
      </c>
      <c r="D12" s="22" t="inlineStr">
        <is>
          <t>Plans that reference portal features</t>
        </is>
      </c>
      <c r="E12" s="23" t="inlineStr">
        <is>
          <t>CS manager</t>
        </is>
      </c>
      <c r="F12" s="23" t="inlineStr">
        <is>
          <t>CS platform</t>
        </is>
      </c>
      <c r="G12" s="25" t="n">
        <v>250</v>
      </c>
      <c r="H12" s="25" t="n">
        <v>225</v>
      </c>
      <c r="I12" s="28" t="n">
        <v>0.5</v>
      </c>
      <c r="J12" s="12">
        <f>IF(OR(H12="",I12=""),"",ROUND(H12*I12,0))</f>
        <v/>
      </c>
      <c r="K12" s="23" t="inlineStr">
        <is>
          <t>Legal text</t>
        </is>
      </c>
      <c r="L12" s="23" t="inlineStr">
        <is>
          <t>High</t>
        </is>
      </c>
      <c r="M12" s="25" t="n">
        <v>8</v>
      </c>
      <c r="N12" s="29" t="n">
        <v>4</v>
      </c>
      <c r="O12" s="25" t="n">
        <v>4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Partial</t>
        </is>
      </c>
      <c r="W12" s="23" t="inlineStr">
        <is>
          <t>No</t>
        </is>
      </c>
      <c r="X12" s="23" t="inlineStr">
        <is>
          <t>No</t>
        </is>
      </c>
      <c r="Y12" s="23" t="inlineStr">
        <is>
          <t>No</t>
        </is>
      </c>
      <c r="Z12" s="22" t="n"/>
      <c r="AA12" s="25" t="n">
        <v>10</v>
      </c>
      <c r="AB12" s="23" t="inlineStr">
        <is>
          <t>Low</t>
        </is>
      </c>
      <c r="AC12" s="23" t="inlineStr">
        <is>
          <t>Critical</t>
        </is>
      </c>
      <c r="AD12" s="23" t="inlineStr">
        <is>
          <t>No</t>
        </is>
      </c>
      <c r="AE12" s="23" t="inlineStr">
        <is>
          <t>Retire</t>
        </is>
      </c>
      <c r="AF12" s="23" t="inlineStr">
        <is>
          <t>Before cutover</t>
        </is>
      </c>
      <c r="AG12" s="23" t="inlineStr">
        <is>
          <t>Validated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Customer Success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Professional Services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Delivery</t>
        </is>
      </c>
      <c r="C10" s="22" t="inlineStr">
        <is>
          <t>Implementation playbooks</t>
        </is>
      </c>
      <c r="D10" s="22" t="inlineStr">
        <is>
          <t>Playbooks with portal set-up steps</t>
        </is>
      </c>
      <c r="E10" s="23" t="inlineStr">
        <is>
          <t>PS lead</t>
        </is>
      </c>
      <c r="F10" s="23" t="inlineStr">
        <is>
          <t>Content hub</t>
        </is>
      </c>
      <c r="G10" s="25" t="n">
        <v>40</v>
      </c>
      <c r="H10" s="25" t="n">
        <v>30</v>
      </c>
      <c r="I10" s="28" t="n">
        <v>0.75</v>
      </c>
      <c r="J10" s="12">
        <f>IF(OR(H10="",I10=""),"",ROUND(H10*I10,0))</f>
        <v/>
      </c>
      <c r="K10" s="23" t="inlineStr">
        <is>
          <t>Visual update</t>
        </is>
      </c>
      <c r="L10" s="23" t="inlineStr">
        <is>
          <t>Critical</t>
        </is>
      </c>
      <c r="M10" s="25" t="n">
        <v>4</v>
      </c>
      <c r="N10" s="29" t="n">
        <v>4</v>
      </c>
      <c r="O10" s="25" t="n">
        <v>2</v>
      </c>
      <c r="P10" s="12">
        <f>IF(AND(J10="",M10="",O10=""),"",N(M10)+N(J10)*N(N10)+N(O10))</f>
        <v/>
      </c>
      <c r="Q10" s="30">
        <f>IF(P10="","",P10/Lists!$C$18)</f>
        <v/>
      </c>
      <c r="R10" s="31" t="n"/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No</t>
        </is>
      </c>
      <c r="W10" s="23" t="inlineStr">
        <is>
          <t>Yes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30</v>
      </c>
      <c r="AB10" s="23" t="inlineStr">
        <is>
          <t>Medium</t>
        </is>
      </c>
      <c r="AC10" s="23" t="inlineStr">
        <is>
          <t>Critical</t>
        </is>
      </c>
      <c r="AD10" s="23" t="inlineStr">
        <is>
          <t>Partial</t>
        </is>
      </c>
      <c r="AE10" s="23" t="inlineStr">
        <is>
          <t>Redirect</t>
        </is>
      </c>
      <c r="AF10" s="23" t="inlineStr">
        <is>
          <t>31–90 days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Delivery</t>
        </is>
      </c>
      <c r="C11" s="22" t="inlineStr">
        <is>
          <t>Statement of work templates</t>
        </is>
      </c>
      <c r="D11" s="22" t="inlineStr">
        <is>
          <t>SOW templates with URLs</t>
        </is>
      </c>
      <c r="E11" s="23" t="inlineStr">
        <is>
          <t>PS operations</t>
        </is>
      </c>
      <c r="F11" s="23" t="inlineStr">
        <is>
          <t>Contract system</t>
        </is>
      </c>
      <c r="G11" s="25" t="n">
        <v>60</v>
      </c>
      <c r="H11" s="25" t="n">
        <v>60</v>
      </c>
      <c r="I11" s="28" t="n">
        <v>0.75</v>
      </c>
      <c r="J11" s="12">
        <f>IF(OR(H11="",I11=""),"",ROUND(H11*I11,0))</f>
        <v/>
      </c>
      <c r="K11" s="23" t="inlineStr">
        <is>
          <t>Technical configuration</t>
        </is>
      </c>
      <c r="L11" s="23" t="inlineStr">
        <is>
          <t>High</t>
        </is>
      </c>
      <c r="M11" s="25" t="n">
        <v>16</v>
      </c>
      <c r="N11" s="29" t="n">
        <v>4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Partial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45</v>
      </c>
      <c r="AB11" s="23" t="inlineStr">
        <is>
          <t>Critical</t>
        </is>
      </c>
      <c r="AC11" s="23" t="inlineStr">
        <is>
          <t>High</t>
        </is>
      </c>
      <c r="AD11" s="23" t="inlineStr">
        <is>
          <t>Yes</t>
        </is>
      </c>
      <c r="AE11" s="23" t="inlineStr">
        <is>
          <t>Update</t>
        </is>
      </c>
      <c r="AF11" s="23" t="inlineStr">
        <is>
          <t>Before cutover</t>
        </is>
      </c>
      <c r="AG11" s="23" t="inlineStr">
        <is>
          <t>Validated</t>
        </is>
      </c>
      <c r="AH11" s="22" t="n"/>
    </row>
    <row r="12">
      <c r="B12" s="23" t="inlineStr">
        <is>
          <t>Training</t>
        </is>
      </c>
      <c r="C12" s="22" t="inlineStr">
        <is>
          <t>Customer training courses</t>
        </is>
      </c>
      <c r="D12" s="22" t="inlineStr">
        <is>
          <t>Instructor-led and on-demand courses</t>
        </is>
      </c>
      <c r="E12" s="23" t="inlineStr">
        <is>
          <t>Training lead</t>
        </is>
      </c>
      <c r="F12" s="23" t="inlineStr">
        <is>
          <t>Learning platform</t>
        </is>
      </c>
      <c r="G12" s="25" t="n">
        <v>60</v>
      </c>
      <c r="H12" s="25" t="n">
        <v>36</v>
      </c>
      <c r="I12" s="28" t="n">
        <v>0.25</v>
      </c>
      <c r="J12" s="12">
        <f>IF(OR(H12="",I12=""),"",ROUND(H12*I12,0))</f>
        <v/>
      </c>
      <c r="K12" s="23" t="inlineStr">
        <is>
          <t>Technical configuration</t>
        </is>
      </c>
      <c r="L12" s="23" t="inlineStr">
        <is>
          <t>Medium</t>
        </is>
      </c>
      <c r="M12" s="25" t="n">
        <v>16</v>
      </c>
      <c r="N12" s="29" t="n">
        <v>4</v>
      </c>
      <c r="O12" s="25" t="n">
        <v>8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>
        <v>30000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45</v>
      </c>
      <c r="AB12" s="23" t="inlineStr">
        <is>
          <t>Critical</t>
        </is>
      </c>
      <c r="AC12" s="23" t="inlineStr">
        <is>
          <t>Medium</t>
        </is>
      </c>
      <c r="AD12" s="23" t="inlineStr">
        <is>
          <t>Partial</t>
        </is>
      </c>
      <c r="AE12" s="23" t="inlineStr">
        <is>
          <t>Update</t>
        </is>
      </c>
      <c r="AF12" s="23" t="inlineStr">
        <is>
          <t>Cutover day</t>
        </is>
      </c>
      <c r="AG12" s="23" t="inlineStr">
        <is>
          <t>Scoping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Professional Services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Customer Support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Knowledge base</t>
        </is>
      </c>
      <c r="C10" s="22" t="inlineStr">
        <is>
          <t>Help articles</t>
        </is>
      </c>
      <c r="D10" s="22" t="inlineStr">
        <is>
          <t>Articles with screenshots and portal links</t>
        </is>
      </c>
      <c r="E10" s="23" t="inlineStr">
        <is>
          <t>Support content lead</t>
        </is>
      </c>
      <c r="F10" s="23" t="inlineStr">
        <is>
          <t>Help center</t>
        </is>
      </c>
      <c r="G10" s="25" t="n">
        <v>4</v>
      </c>
      <c r="H10" s="25" t="n">
        <v>4</v>
      </c>
      <c r="I10" s="28" t="n">
        <v>0.5</v>
      </c>
      <c r="J10" s="12">
        <f>IF(OR(H10="",I10=""),"",ROUND(H10*I10,0))</f>
        <v/>
      </c>
      <c r="K10" s="23" t="inlineStr">
        <is>
          <t>URL / link</t>
        </is>
      </c>
      <c r="L10" s="23" t="inlineStr">
        <is>
          <t>Medium</t>
        </is>
      </c>
      <c r="M10" s="25" t="n">
        <v>24</v>
      </c>
      <c r="N10" s="29" t="n">
        <v>1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/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Yes</t>
        </is>
      </c>
      <c r="W10" s="23" t="inlineStr">
        <is>
          <t>No</t>
        </is>
      </c>
      <c r="X10" s="23" t="inlineStr">
        <is>
          <t>Yes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Medium</t>
        </is>
      </c>
      <c r="AC10" s="23" t="inlineStr">
        <is>
          <t>Low</t>
        </is>
      </c>
      <c r="AD10" s="23" t="inlineStr">
        <is>
          <t>Partial</t>
        </is>
      </c>
      <c r="AE10" s="23" t="inlineStr">
        <is>
          <t>Update</t>
        </is>
      </c>
      <c r="AF10" s="23" t="inlineStr">
        <is>
          <t>Cutover day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Tooling</t>
        </is>
      </c>
      <c r="C11" s="22" t="inlineStr">
        <is>
          <t>Macros and saved replies</t>
        </is>
      </c>
      <c r="D11" s="22" t="inlineStr">
        <is>
          <t>Saved replies that include URLs</t>
        </is>
      </c>
      <c r="E11" s="23" t="inlineStr">
        <is>
          <t>Support operations</t>
        </is>
      </c>
      <c r="F11" s="23" t="inlineStr">
        <is>
          <t>Ticketing system</t>
        </is>
      </c>
      <c r="G11" s="25" t="n">
        <v>800</v>
      </c>
      <c r="H11" s="25" t="n">
        <v>600</v>
      </c>
      <c r="I11" s="28" t="n">
        <v>0.25</v>
      </c>
      <c r="J11" s="12">
        <f>IF(OR(H11="",I11=""),"",ROUND(H11*I11,0))</f>
        <v/>
      </c>
      <c r="K11" s="23" t="inlineStr">
        <is>
          <t>Content update</t>
        </is>
      </c>
      <c r="L11" s="23" t="inlineStr">
        <is>
          <t>Critical</t>
        </is>
      </c>
      <c r="M11" s="25" t="n">
        <v>8</v>
      </c>
      <c r="N11" s="29" t="n">
        <v>4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>
        <v>95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Partial</t>
        </is>
      </c>
      <c r="W11" s="23" t="inlineStr">
        <is>
          <t>No</t>
        </is>
      </c>
      <c r="X11" s="23" t="inlineStr">
        <is>
          <t>Yes</t>
        </is>
      </c>
      <c r="Y11" s="23" t="inlineStr">
        <is>
          <t>No</t>
        </is>
      </c>
      <c r="Z11" s="22" t="n"/>
      <c r="AA11" s="25" t="n">
        <v>10</v>
      </c>
      <c r="AB11" s="23" t="inlineStr">
        <is>
          <t>Medium</t>
        </is>
      </c>
      <c r="AC11" s="23" t="inlineStr">
        <is>
          <t>Medium</t>
        </is>
      </c>
      <c r="AD11" s="23" t="inlineStr">
        <is>
          <t>Partial</t>
        </is>
      </c>
      <c r="AE11" s="23" t="inlineStr">
        <is>
          <t>Redirect</t>
        </is>
      </c>
      <c r="AF11" s="23" t="inlineStr">
        <is>
          <t>31–90 days</t>
        </is>
      </c>
      <c r="AG11" s="23" t="inlineStr">
        <is>
          <t>Scoping</t>
        </is>
      </c>
      <c r="AH11" s="22" t="n"/>
    </row>
    <row r="12">
      <c r="B12" s="23" t="inlineStr">
        <is>
          <t>Tooling</t>
        </is>
      </c>
      <c r="C12" s="22" t="inlineStr">
        <is>
          <t>Support portal</t>
        </is>
      </c>
      <c r="D12" s="22" t="inlineStr">
        <is>
          <t>Ticket submission pages</t>
        </is>
      </c>
      <c r="E12" s="23" t="inlineStr">
        <is>
          <t>Support operations</t>
        </is>
      </c>
      <c r="F12" s="23" t="inlineStr">
        <is>
          <t>Ticketing system</t>
        </is>
      </c>
      <c r="G12" s="25" t="n">
        <v>4</v>
      </c>
      <c r="H12" s="25" t="n">
        <v>4</v>
      </c>
      <c r="I12" s="28" t="n">
        <v>0.75</v>
      </c>
      <c r="J12" s="12">
        <f>IF(OR(H12="",I12=""),"",ROUND(H12*I12,0))</f>
        <v/>
      </c>
      <c r="K12" s="23" t="inlineStr">
        <is>
          <t>Legal text</t>
        </is>
      </c>
      <c r="L12" s="23" t="inlineStr">
        <is>
          <t>High</t>
        </is>
      </c>
      <c r="M12" s="25" t="n">
        <v>8</v>
      </c>
      <c r="N12" s="29" t="n">
        <v>4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>
        <v>95</v>
      </c>
      <c r="S12" s="14">
        <f>IF(OR(P12="",R12=""),"",P12*R12)</f>
        <v/>
      </c>
      <c r="T12" s="32" t="n">
        <v>12000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30</v>
      </c>
      <c r="AB12" s="23" t="inlineStr">
        <is>
          <t>Medium</t>
        </is>
      </c>
      <c r="AC12" s="23" t="inlineStr">
        <is>
          <t>Low</t>
        </is>
      </c>
      <c r="AD12" s="23" t="inlineStr">
        <is>
          <t>No</t>
        </is>
      </c>
      <c r="AE12" s="23" t="inlineStr">
        <is>
          <t>Merge</t>
        </is>
      </c>
      <c r="AF12" s="23" t="inlineStr">
        <is>
          <t>0–30 days</t>
        </is>
      </c>
      <c r="AG12" s="23" t="inlineStr">
        <is>
          <t>Validated</t>
        </is>
      </c>
      <c r="AH12" s="22" t="n"/>
    </row>
    <row r="13">
      <c r="B13" s="23" t="inlineStr">
        <is>
          <t>Communications</t>
        </is>
      </c>
      <c r="C13" s="22" t="inlineStr">
        <is>
          <t>Status page</t>
        </is>
      </c>
      <c r="D13" s="22" t="inlineStr">
        <is>
          <t>Status page components and subscriber notices</t>
        </is>
      </c>
      <c r="E13" s="23" t="inlineStr">
        <is>
          <t>Support operations</t>
        </is>
      </c>
      <c r="F13" s="23" t="inlineStr">
        <is>
          <t>Status page tool</t>
        </is>
      </c>
      <c r="G13" s="25" t="n">
        <v>12</v>
      </c>
      <c r="H13" s="25" t="n">
        <v>7</v>
      </c>
      <c r="I13" s="28" t="n">
        <v>0.75</v>
      </c>
      <c r="J13" s="12">
        <f>IF(OR(H13="",I13=""),"",ROUND(H13*I13,0))</f>
        <v/>
      </c>
      <c r="K13" s="23" t="inlineStr">
        <is>
          <t>URL / link</t>
        </is>
      </c>
      <c r="L13" s="23" t="inlineStr">
        <is>
          <t>Medium</t>
        </is>
      </c>
      <c r="M13" s="25" t="n">
        <v>40</v>
      </c>
      <c r="N13" s="29" t="n">
        <v>1</v>
      </c>
      <c r="O13" s="25" t="n">
        <v>8</v>
      </c>
      <c r="P13" s="12">
        <f>IF(AND(J13="",M13="",O13=""),"",N(M13)+N(J13)*N(N13)+N(O13))</f>
        <v/>
      </c>
      <c r="Q13" s="30">
        <f>IF(P13="","",P13/Lists!$C$18)</f>
        <v/>
      </c>
      <c r="R13" s="31" t="n">
        <v>85</v>
      </c>
      <c r="S13" s="14">
        <f>IF(OR(P13="",R13=""),"",P13*R13)</f>
        <v/>
      </c>
      <c r="T13" s="32" t="n">
        <v>5000</v>
      </c>
      <c r="U13" s="14">
        <f>IF(AND(S13="",T13=""),"",N(S13)+N(T13))</f>
        <v/>
      </c>
      <c r="V13" s="23" t="inlineStr">
        <is>
          <t>Yes</t>
        </is>
      </c>
      <c r="W13" s="23" t="inlineStr">
        <is>
          <t>No</t>
        </is>
      </c>
      <c r="X13" s="23" t="inlineStr">
        <is>
          <t>No</t>
        </is>
      </c>
      <c r="Y13" s="23" t="inlineStr">
        <is>
          <t>No</t>
        </is>
      </c>
      <c r="Z13" s="22" t="n"/>
      <c r="AA13" s="25" t="n">
        <v>60</v>
      </c>
      <c r="AB13" s="23" t="inlineStr">
        <is>
          <t>Critical</t>
        </is>
      </c>
      <c r="AC13" s="23" t="inlineStr">
        <is>
          <t>Low</t>
        </is>
      </c>
      <c r="AD13" s="23" t="inlineStr">
        <is>
          <t>Yes</t>
        </is>
      </c>
      <c r="AE13" s="23" t="inlineStr">
        <is>
          <t>Update</t>
        </is>
      </c>
      <c r="AF13" s="23" t="inlineStr">
        <is>
          <t>31–90 days</t>
        </is>
      </c>
      <c r="AG13" s="23" t="inlineStr">
        <is>
          <t>Scoping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Customer Support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Pre-Sales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Demo</t>
        </is>
      </c>
      <c r="C10" s="22" t="inlineStr">
        <is>
          <t>Demo environments</t>
        </is>
      </c>
      <c r="D10" s="22" t="inlineStr">
        <is>
          <t>Demo tenants on the current portal</t>
        </is>
      </c>
      <c r="E10" s="23" t="inlineStr">
        <is>
          <t>Solutions lead</t>
        </is>
      </c>
      <c r="F10" s="23" t="inlineStr">
        <is>
          <t>Demo platform</t>
        </is>
      </c>
      <c r="G10" s="25" t="n">
        <v>25</v>
      </c>
      <c r="H10" s="25" t="n">
        <v>25</v>
      </c>
      <c r="I10" s="28" t="n">
        <v>0.5</v>
      </c>
      <c r="J10" s="12">
        <f>IF(OR(H10="",I10=""),"",ROUND(H10*I10,0))</f>
        <v/>
      </c>
      <c r="K10" s="23" t="inlineStr">
        <is>
          <t>Content update</t>
        </is>
      </c>
      <c r="L10" s="23" t="inlineStr">
        <is>
          <t>Critical</t>
        </is>
      </c>
      <c r="M10" s="25" t="n">
        <v>8</v>
      </c>
      <c r="N10" s="29" t="n">
        <v>0.25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60</v>
      </c>
      <c r="AB10" s="23" t="inlineStr">
        <is>
          <t>High</t>
        </is>
      </c>
      <c r="AC10" s="23" t="inlineStr">
        <is>
          <t>High</t>
        </is>
      </c>
      <c r="AD10" s="23" t="inlineStr">
        <is>
          <t>No</t>
        </is>
      </c>
      <c r="AE10" s="23" t="inlineStr">
        <is>
          <t>Redirect</t>
        </is>
      </c>
      <c r="AF10" s="23" t="inlineStr">
        <is>
          <t>0–30 days</t>
        </is>
      </c>
      <c r="AG10" s="23" t="inlineStr">
        <is>
          <t>Not started</t>
        </is>
      </c>
      <c r="AH10" s="22" t="inlineStr">
        <is>
          <t>Example row: replace with your own estimate.</t>
        </is>
      </c>
    </row>
    <row r="11">
      <c r="B11" s="23" t="inlineStr">
        <is>
          <t>Templates</t>
        </is>
      </c>
      <c r="C11" s="22" t="inlineStr">
        <is>
          <t>RFP answer library</t>
        </is>
      </c>
      <c r="D11" s="22" t="inlineStr">
        <is>
          <t>Standard answers that mention hosting and URLs</t>
        </is>
      </c>
      <c r="E11" s="23" t="inlineStr">
        <is>
          <t>Bid manager</t>
        </is>
      </c>
      <c r="F11" s="23" t="inlineStr">
        <is>
          <t>RFP tool</t>
        </is>
      </c>
      <c r="G11" s="25" t="n">
        <v>60</v>
      </c>
      <c r="H11" s="25" t="n">
        <v>36</v>
      </c>
      <c r="I11" s="28" t="n">
        <v>0.75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Critical</t>
        </is>
      </c>
      <c r="M11" s="25" t="n">
        <v>40</v>
      </c>
      <c r="N11" s="29" t="n">
        <v>0.5</v>
      </c>
      <c r="O11" s="25" t="n">
        <v>2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>
        <v>30000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14</v>
      </c>
      <c r="AB11" s="23" t="inlineStr">
        <is>
          <t>High</t>
        </is>
      </c>
      <c r="AC11" s="23" t="inlineStr">
        <is>
          <t>Medium</t>
        </is>
      </c>
      <c r="AD11" s="23" t="inlineStr">
        <is>
          <t>No</t>
        </is>
      </c>
      <c r="AE11" s="23" t="inlineStr">
        <is>
          <t>Merge</t>
        </is>
      </c>
      <c r="AF11" s="23" t="inlineStr">
        <is>
          <t>31–90 days</t>
        </is>
      </c>
      <c r="AG11" s="23" t="inlineStr">
        <is>
          <t>Not started</t>
        </is>
      </c>
      <c r="AH11" s="22" t="n"/>
    </row>
    <row r="12">
      <c r="B12" s="23" t="inlineStr">
        <is>
          <t>Demo</t>
        </is>
      </c>
      <c r="C12" s="22" t="inlineStr">
        <is>
          <t>Recorded demos</t>
        </is>
      </c>
      <c r="D12" s="22" t="inlineStr">
        <is>
          <t>Demo videos that show the portal</t>
        </is>
      </c>
      <c r="E12" s="23" t="inlineStr">
        <is>
          <t>Solutions consultant</t>
        </is>
      </c>
      <c r="F12" s="23" t="inlineStr">
        <is>
          <t>Video platform</t>
        </is>
      </c>
      <c r="G12" s="25" t="n">
        <v>12</v>
      </c>
      <c r="H12" s="25" t="n">
        <v>7</v>
      </c>
      <c r="I12" s="28" t="n">
        <v>0.5</v>
      </c>
      <c r="J12" s="12">
        <f>IF(OR(H12="",I12=""),"",ROUND(H12*I12,0))</f>
        <v/>
      </c>
      <c r="K12" s="23" t="inlineStr">
        <is>
          <t>URL / link</t>
        </is>
      </c>
      <c r="L12" s="23" t="inlineStr">
        <is>
          <t>Critical</t>
        </is>
      </c>
      <c r="M12" s="25" t="n">
        <v>4</v>
      </c>
      <c r="N12" s="29" t="n">
        <v>1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14</v>
      </c>
      <c r="AB12" s="23" t="inlineStr">
        <is>
          <t>Medium</t>
        </is>
      </c>
      <c r="AC12" s="23" t="inlineStr">
        <is>
          <t>Medium</t>
        </is>
      </c>
      <c r="AD12" s="23" t="inlineStr">
        <is>
          <t>Partial</t>
        </is>
      </c>
      <c r="AE12" s="23" t="inlineStr">
        <is>
          <t>Retire</t>
        </is>
      </c>
      <c r="AF12" s="23" t="inlineStr">
        <is>
          <t>31–90 days</t>
        </is>
      </c>
      <c r="AG12" s="23" t="inlineStr">
        <is>
          <t>Scoping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Pre-Sales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Partners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Portal</t>
        </is>
      </c>
      <c r="C10" s="22" t="inlineStr">
        <is>
          <t>Partner portal pages</t>
        </is>
      </c>
      <c r="D10" s="22" t="inlineStr">
        <is>
          <t>Partner pages and deal registration</t>
        </is>
      </c>
      <c r="E10" s="23" t="inlineStr">
        <is>
          <t>Partner manager</t>
        </is>
      </c>
      <c r="F10" s="23" t="inlineStr">
        <is>
          <t>Partner portal</t>
        </is>
      </c>
      <c r="G10" s="25" t="n">
        <v>250</v>
      </c>
      <c r="H10" s="25" t="n">
        <v>188</v>
      </c>
      <c r="I10" s="28" t="n">
        <v>1</v>
      </c>
      <c r="J10" s="12">
        <f>IF(OR(H10="",I10=""),"",ROUND(H10*I10,0))</f>
        <v/>
      </c>
      <c r="K10" s="23" t="inlineStr">
        <is>
          <t>Visual update</t>
        </is>
      </c>
      <c r="L10" s="23" t="inlineStr">
        <is>
          <t>Medium</t>
        </is>
      </c>
      <c r="M10" s="25" t="n">
        <v>8</v>
      </c>
      <c r="N10" s="29" t="n">
        <v>1</v>
      </c>
      <c r="O10" s="25" t="n">
        <v>2</v>
      </c>
      <c r="P10" s="12">
        <f>IF(AND(J10="",M10="",O10=""),"",N(M10)+N(J10)*N(N10)+N(O10))</f>
        <v/>
      </c>
      <c r="Q10" s="30">
        <f>IF(P10="","",P10/Lists!$C$18)</f>
        <v/>
      </c>
      <c r="R10" s="31" t="n">
        <v>85</v>
      </c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Partial</t>
        </is>
      </c>
      <c r="W10" s="23" t="inlineStr">
        <is>
          <t>No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5</v>
      </c>
      <c r="AB10" s="23" t="inlineStr">
        <is>
          <t>High</t>
        </is>
      </c>
      <c r="AC10" s="23" t="inlineStr">
        <is>
          <t>Medium</t>
        </is>
      </c>
      <c r="AD10" s="23" t="inlineStr">
        <is>
          <t>Partial</t>
        </is>
      </c>
      <c r="AE10" s="23" t="inlineStr">
        <is>
          <t>Update</t>
        </is>
      </c>
      <c r="AF10" s="23" t="inlineStr">
        <is>
          <t>Before cutover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Enablement</t>
        </is>
      </c>
      <c r="C11" s="22" t="inlineStr">
        <is>
          <t>Partner training</t>
        </is>
      </c>
      <c r="D11" s="22" t="inlineStr">
        <is>
          <t>Partner courses and certifications</t>
        </is>
      </c>
      <c r="E11" s="23" t="inlineStr">
        <is>
          <t>Partner enablement</t>
        </is>
      </c>
      <c r="F11" s="23" t="inlineStr">
        <is>
          <t>Learning platform</t>
        </is>
      </c>
      <c r="G11" s="25" t="n">
        <v>250</v>
      </c>
      <c r="H11" s="25" t="n">
        <v>150</v>
      </c>
      <c r="I11" s="28" t="n">
        <v>0.75</v>
      </c>
      <c r="J11" s="12">
        <f>IF(OR(H11="",I11=""),"",ROUND(H11*I11,0))</f>
        <v/>
      </c>
      <c r="K11" s="23" t="inlineStr">
        <is>
          <t>URL / link</t>
        </is>
      </c>
      <c r="L11" s="23" t="inlineStr">
        <is>
          <t>Medium</t>
        </is>
      </c>
      <c r="M11" s="25" t="n">
        <v>4</v>
      </c>
      <c r="N11" s="29" t="n">
        <v>4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>
        <v>12000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Yes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14</v>
      </c>
      <c r="AB11" s="23" t="inlineStr">
        <is>
          <t>High</t>
        </is>
      </c>
      <c r="AC11" s="23" t="inlineStr">
        <is>
          <t>Medium</t>
        </is>
      </c>
      <c r="AD11" s="23" t="inlineStr">
        <is>
          <t>No</t>
        </is>
      </c>
      <c r="AE11" s="23" t="inlineStr">
        <is>
          <t>Update</t>
        </is>
      </c>
      <c r="AF11" s="23" t="inlineStr">
        <is>
          <t>31–90 days</t>
        </is>
      </c>
      <c r="AG11" s="23" t="inlineStr">
        <is>
          <t>Scoping</t>
        </is>
      </c>
      <c r="AH11" s="22" t="n"/>
    </row>
    <row r="12">
      <c r="B12" s="23" t="inlineStr">
        <is>
          <t>Marketplace</t>
        </is>
      </c>
      <c r="C12" s="22" t="inlineStr">
        <is>
          <t>Marketplace listings</t>
        </is>
      </c>
      <c r="D12" s="22" t="inlineStr">
        <is>
          <t>Third-party listings that link to the site</t>
        </is>
      </c>
      <c r="E12" s="23" t="inlineStr">
        <is>
          <t>Partner manager</t>
        </is>
      </c>
      <c r="F12" s="23" t="inlineStr">
        <is>
          <t>Marketplaces</t>
        </is>
      </c>
      <c r="G12" s="25" t="n">
        <v>60</v>
      </c>
      <c r="H12" s="25" t="n">
        <v>54</v>
      </c>
      <c r="I12" s="28" t="n">
        <v>1</v>
      </c>
      <c r="J12" s="12">
        <f>IF(OR(H12="",I12=""),"",ROUND(H12*I12,0))</f>
        <v/>
      </c>
      <c r="K12" s="23" t="inlineStr">
        <is>
          <t>Legal text</t>
        </is>
      </c>
      <c r="L12" s="23" t="inlineStr">
        <is>
          <t>Medium</t>
        </is>
      </c>
      <c r="M12" s="25" t="n">
        <v>4</v>
      </c>
      <c r="N12" s="29" t="n">
        <v>0.5</v>
      </c>
      <c r="O12" s="25" t="n">
        <v>8</v>
      </c>
      <c r="P12" s="12">
        <f>IF(AND(J12="",M12="",O12=""),"",N(M12)+N(J12)*N(N12)+N(O12))</f>
        <v/>
      </c>
      <c r="Q12" s="30">
        <f>IF(P12="","",P12/Lists!$C$18)</f>
        <v/>
      </c>
      <c r="R12" s="31" t="n">
        <v>85</v>
      </c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No</t>
        </is>
      </c>
      <c r="Y12" s="23" t="inlineStr">
        <is>
          <t>Yes</t>
        </is>
      </c>
      <c r="Z12" s="22" t="n"/>
      <c r="AA12" s="25" t="n">
        <v>60</v>
      </c>
      <c r="AB12" s="23" t="inlineStr">
        <is>
          <t>High</t>
        </is>
      </c>
      <c r="AC12" s="23" t="inlineStr">
        <is>
          <t>Medium</t>
        </is>
      </c>
      <c r="AD12" s="23" t="inlineStr">
        <is>
          <t>No</t>
        </is>
      </c>
      <c r="AE12" s="23" t="inlineStr">
        <is>
          <t>Redirect</t>
        </is>
      </c>
      <c r="AF12" s="23" t="inlineStr">
        <is>
          <t>Before cutover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Partners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HR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Recruiting</t>
        </is>
      </c>
      <c r="C10" s="22" t="inlineStr">
        <is>
          <t>Careers pages</t>
        </is>
      </c>
      <c r="D10" s="22" t="inlineStr">
        <is>
          <t>Job listings and the careers site</t>
        </is>
      </c>
      <c r="E10" s="23" t="inlineStr">
        <is>
          <t>Talent lead</t>
        </is>
      </c>
      <c r="F10" s="23" t="inlineStr">
        <is>
          <t>Applicant tracking</t>
        </is>
      </c>
      <c r="G10" s="25" t="n">
        <v>800</v>
      </c>
      <c r="H10" s="25" t="n">
        <v>720</v>
      </c>
      <c r="I10" s="28" t="n">
        <v>0.75</v>
      </c>
      <c r="J10" s="12">
        <f>IF(OR(H10="",I10=""),"",ROUND(H10*I10,0))</f>
        <v/>
      </c>
      <c r="K10" s="23" t="inlineStr">
        <is>
          <t>Full rebuild</t>
        </is>
      </c>
      <c r="L10" s="23" t="inlineStr">
        <is>
          <t>Critical</t>
        </is>
      </c>
      <c r="M10" s="25" t="n">
        <v>24</v>
      </c>
      <c r="N10" s="29" t="n">
        <v>0.25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/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No</t>
        </is>
      </c>
      <c r="W10" s="23" t="inlineStr">
        <is>
          <t>Yes</t>
        </is>
      </c>
      <c r="X10" s="23" t="inlineStr">
        <is>
          <t>Yes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45</v>
      </c>
      <c r="AB10" s="23" t="inlineStr">
        <is>
          <t>Medium</t>
        </is>
      </c>
      <c r="AC10" s="23" t="inlineStr">
        <is>
          <t>Critical</t>
        </is>
      </c>
      <c r="AD10" s="23" t="inlineStr">
        <is>
          <t>Yes</t>
        </is>
      </c>
      <c r="AE10" s="23" t="inlineStr">
        <is>
          <t>Redirect</t>
        </is>
      </c>
      <c r="AF10" s="23" t="inlineStr">
        <is>
          <t>Before cutover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Employees</t>
        </is>
      </c>
      <c r="C11" s="22" t="inlineStr">
        <is>
          <t>Handbook links</t>
        </is>
      </c>
      <c r="D11" s="22" t="inlineStr">
        <is>
          <t>Handbook pages that link to internal tools</t>
        </is>
      </c>
      <c r="E11" s="23" t="inlineStr">
        <is>
          <t>HR operations</t>
        </is>
      </c>
      <c r="F11" s="23" t="inlineStr">
        <is>
          <t>HR system</t>
        </is>
      </c>
      <c r="G11" s="25" t="n">
        <v>120</v>
      </c>
      <c r="H11" s="25" t="n">
        <v>108</v>
      </c>
      <c r="I11" s="28" t="n">
        <v>0.5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High</t>
        </is>
      </c>
      <c r="M11" s="25" t="n">
        <v>8</v>
      </c>
      <c r="N11" s="29" t="n">
        <v>1</v>
      </c>
      <c r="O11" s="25" t="n">
        <v>8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Partial</t>
        </is>
      </c>
      <c r="W11" s="23" t="inlineStr">
        <is>
          <t>No</t>
        </is>
      </c>
      <c r="X11" s="23" t="inlineStr">
        <is>
          <t>Partial</t>
        </is>
      </c>
      <c r="Y11" s="23" t="inlineStr">
        <is>
          <t>No</t>
        </is>
      </c>
      <c r="Z11" s="22" t="n"/>
      <c r="AA11" s="25" t="n">
        <v>60</v>
      </c>
      <c r="AB11" s="23" t="inlineStr">
        <is>
          <t>Medium</t>
        </is>
      </c>
      <c r="AC11" s="23" t="inlineStr">
        <is>
          <t>Medium</t>
        </is>
      </c>
      <c r="AD11" s="23" t="inlineStr">
        <is>
          <t>Partial</t>
        </is>
      </c>
      <c r="AE11" s="23" t="inlineStr">
        <is>
          <t>Redirect</t>
        </is>
      </c>
      <c r="AF11" s="23" t="inlineStr">
        <is>
          <t>Cutover day</t>
        </is>
      </c>
      <c r="AG11" s="23" t="inlineStr">
        <is>
          <t>Scoping</t>
        </is>
      </c>
      <c r="AH11" s="22" t="n"/>
    </row>
    <row r="12">
      <c r="B12" s="23" t="inlineStr">
        <is>
          <t>Recruiting</t>
        </is>
      </c>
      <c r="C12" s="22" t="inlineStr">
        <is>
          <t>Offer letter templates</t>
        </is>
      </c>
      <c r="D12" s="22" t="inlineStr">
        <is>
          <t>Templates with links to benefits pages</t>
        </is>
      </c>
      <c r="E12" s="23" t="inlineStr">
        <is>
          <t>HR operations</t>
        </is>
      </c>
      <c r="F12" s="23" t="inlineStr">
        <is>
          <t>HR system</t>
        </is>
      </c>
      <c r="G12" s="25" t="n">
        <v>120</v>
      </c>
      <c r="H12" s="25" t="n">
        <v>72</v>
      </c>
      <c r="I12" s="28" t="n">
        <v>1</v>
      </c>
      <c r="J12" s="12">
        <f>IF(OR(H12="",I12=""),"",ROUND(H12*I12,0))</f>
        <v/>
      </c>
      <c r="K12" s="23" t="inlineStr">
        <is>
          <t>Visual update</t>
        </is>
      </c>
      <c r="L12" s="23" t="inlineStr">
        <is>
          <t>High</t>
        </is>
      </c>
      <c r="M12" s="25" t="n">
        <v>4</v>
      </c>
      <c r="N12" s="29" t="n">
        <v>0.5</v>
      </c>
      <c r="O12" s="25" t="n">
        <v>2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>
        <v>12000</v>
      </c>
      <c r="U12" s="14">
        <f>IF(AND(S12="",T12=""),"",N(S12)+N(T12))</f>
        <v/>
      </c>
      <c r="V12" s="23" t="inlineStr">
        <is>
          <t>Yes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60</v>
      </c>
      <c r="AB12" s="23" t="inlineStr">
        <is>
          <t>High</t>
        </is>
      </c>
      <c r="AC12" s="23" t="inlineStr">
        <is>
          <t>Medium</t>
        </is>
      </c>
      <c r="AD12" s="23" t="inlineStr">
        <is>
          <t>Partial</t>
        </is>
      </c>
      <c r="AE12" s="23" t="inlineStr">
        <is>
          <t>Update</t>
        </is>
      </c>
      <c r="AF12" s="23" t="inlineStr">
        <is>
          <t>0–30 days</t>
        </is>
      </c>
      <c r="AG12" s="23" t="inlineStr">
        <is>
          <t>Scoping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HR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Finance &amp; Procurement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Billing</t>
        </is>
      </c>
      <c r="C10" s="22" t="inlineStr">
        <is>
          <t>Invoice templates</t>
        </is>
      </c>
      <c r="D10" s="22" t="inlineStr">
        <is>
          <t>Invoices with payment portal links</t>
        </is>
      </c>
      <c r="E10" s="23" t="inlineStr">
        <is>
          <t>Billing lead</t>
        </is>
      </c>
      <c r="F10" s="23" t="inlineStr">
        <is>
          <t>Billing system</t>
        </is>
      </c>
      <c r="G10" s="25" t="n">
        <v>12</v>
      </c>
      <c r="H10" s="25" t="n">
        <v>11</v>
      </c>
      <c r="I10" s="28" t="n">
        <v>0.75</v>
      </c>
      <c r="J10" s="12">
        <f>IF(OR(H10="",I10=""),"",ROUND(H10*I10,0))</f>
        <v/>
      </c>
      <c r="K10" s="23" t="inlineStr">
        <is>
          <t>URL / link</t>
        </is>
      </c>
      <c r="L10" s="23" t="inlineStr">
        <is>
          <t>Medium</t>
        </is>
      </c>
      <c r="M10" s="25" t="n">
        <v>24</v>
      </c>
      <c r="N10" s="29" t="n">
        <v>2</v>
      </c>
      <c r="O10" s="25" t="n">
        <v>2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12000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Yes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45</v>
      </c>
      <c r="AB10" s="23" t="inlineStr">
        <is>
          <t>High</t>
        </is>
      </c>
      <c r="AC10" s="23" t="inlineStr">
        <is>
          <t>High</t>
        </is>
      </c>
      <c r="AD10" s="23" t="inlineStr">
        <is>
          <t>Yes</t>
        </is>
      </c>
      <c r="AE10" s="23" t="inlineStr">
        <is>
          <t>Redirect</t>
        </is>
      </c>
      <c r="AF10" s="23" t="inlineStr">
        <is>
          <t>0–30 days</t>
        </is>
      </c>
      <c r="AG10" s="23" t="inlineStr">
        <is>
          <t>Not started</t>
        </is>
      </c>
      <c r="AH10" s="22" t="inlineStr">
        <is>
          <t>Example row: replace with your own estimate.</t>
        </is>
      </c>
    </row>
    <row r="11">
      <c r="B11" s="23" t="inlineStr">
        <is>
          <t>Billing</t>
        </is>
      </c>
      <c r="C11" s="22" t="inlineStr">
        <is>
          <t>Payment portal</t>
        </is>
      </c>
      <c r="D11" s="22" t="inlineStr">
        <is>
          <t>Customer payment and account pages</t>
        </is>
      </c>
      <c r="E11" s="23" t="inlineStr">
        <is>
          <t>Billing lead</t>
        </is>
      </c>
      <c r="F11" s="23" t="inlineStr">
        <is>
          <t>Payment platform</t>
        </is>
      </c>
      <c r="G11" s="25" t="n">
        <v>60</v>
      </c>
      <c r="H11" s="25" t="n">
        <v>45</v>
      </c>
      <c r="I11" s="28" t="n">
        <v>0.75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Critical</t>
        </is>
      </c>
      <c r="M11" s="25" t="n">
        <v>4</v>
      </c>
      <c r="N11" s="29" t="n">
        <v>0.25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>
        <v>5000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Yes</t>
        </is>
      </c>
      <c r="Z11" s="22" t="n"/>
      <c r="AA11" s="25" t="n">
        <v>60</v>
      </c>
      <c r="AB11" s="23" t="inlineStr">
        <is>
          <t>Medium</t>
        </is>
      </c>
      <c r="AC11" s="23" t="inlineStr">
        <is>
          <t>Low</t>
        </is>
      </c>
      <c r="AD11" s="23" t="inlineStr">
        <is>
          <t>Yes</t>
        </is>
      </c>
      <c r="AE11" s="23" t="inlineStr">
        <is>
          <t>Update</t>
        </is>
      </c>
      <c r="AF11" s="23" t="inlineStr">
        <is>
          <t>0–30 days</t>
        </is>
      </c>
      <c r="AG11" s="23" t="inlineStr">
        <is>
          <t>Scoping</t>
        </is>
      </c>
      <c r="AH11" s="22" t="n"/>
    </row>
    <row r="12">
      <c r="B12" s="23" t="inlineStr">
        <is>
          <t>Procurement</t>
        </is>
      </c>
      <c r="C12" s="22" t="inlineStr">
        <is>
          <t>Vendor onboarding</t>
        </is>
      </c>
      <c r="D12" s="22" t="inlineStr">
        <is>
          <t>Set-up and approvals for the new hosting vendor</t>
        </is>
      </c>
      <c r="E12" s="23" t="inlineStr">
        <is>
          <t>Procurement lead</t>
        </is>
      </c>
      <c r="F12" s="23" t="inlineStr">
        <is>
          <t>Procurement system</t>
        </is>
      </c>
      <c r="G12" s="25" t="n">
        <v>4</v>
      </c>
      <c r="H12" s="25" t="n">
        <v>4</v>
      </c>
      <c r="I12" s="28" t="n">
        <v>0.25</v>
      </c>
      <c r="J12" s="12">
        <f>IF(OR(H12="",I12=""),"",ROUND(H12*I12,0))</f>
        <v/>
      </c>
      <c r="K12" s="23" t="inlineStr">
        <is>
          <t>Full rebuild</t>
        </is>
      </c>
      <c r="L12" s="23" t="inlineStr">
        <is>
          <t>Medium</t>
        </is>
      </c>
      <c r="M12" s="25" t="n">
        <v>8</v>
      </c>
      <c r="N12" s="29" t="n">
        <v>1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Partial</t>
        </is>
      </c>
      <c r="W12" s="23" t="inlineStr">
        <is>
          <t>No</t>
        </is>
      </c>
      <c r="X12" s="23" t="inlineStr">
        <is>
          <t>No</t>
        </is>
      </c>
      <c r="Y12" s="23" t="inlineStr">
        <is>
          <t>No</t>
        </is>
      </c>
      <c r="Z12" s="22" t="n"/>
      <c r="AA12" s="25" t="n">
        <v>60</v>
      </c>
      <c r="AB12" s="23" t="inlineStr">
        <is>
          <t>Critical</t>
        </is>
      </c>
      <c r="AC12" s="23" t="inlineStr">
        <is>
          <t>Low</t>
        </is>
      </c>
      <c r="AD12" s="23" t="inlineStr">
        <is>
          <t>Partial</t>
        </is>
      </c>
      <c r="AE12" s="23" t="inlineStr">
        <is>
          <t>Update</t>
        </is>
      </c>
      <c r="AF12" s="23" t="inlineStr">
        <is>
          <t>31–90 days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Finance &amp; Procurement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Executive &amp; Strategy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Governance</t>
        </is>
      </c>
      <c r="C10" s="22" t="inlineStr">
        <is>
          <t>Steering committee pack</t>
        </is>
      </c>
      <c r="D10" s="22" t="inlineStr">
        <is>
          <t>Program updates and decisions</t>
        </is>
      </c>
      <c r="E10" s="23" t="inlineStr">
        <is>
          <t>Chief of staff</t>
        </is>
      </c>
      <c r="F10" s="23" t="inlineStr">
        <is>
          <t>Shared drive</t>
        </is>
      </c>
      <c r="G10" s="25" t="n">
        <v>40</v>
      </c>
      <c r="H10" s="25" t="n">
        <v>24</v>
      </c>
      <c r="I10" s="28" t="n">
        <v>1</v>
      </c>
      <c r="J10" s="12">
        <f>IF(OR(H10="",I10=""),"",ROUND(H10*I10,0))</f>
        <v/>
      </c>
      <c r="K10" s="23" t="inlineStr">
        <is>
          <t>Full rebuild</t>
        </is>
      </c>
      <c r="L10" s="23" t="inlineStr">
        <is>
          <t>Medium</t>
        </is>
      </c>
      <c r="M10" s="25" t="n">
        <v>16</v>
      </c>
      <c r="N10" s="29" t="n">
        <v>0.5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30000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14</v>
      </c>
      <c r="AB10" s="23" t="inlineStr">
        <is>
          <t>Medium</t>
        </is>
      </c>
      <c r="AC10" s="23" t="inlineStr">
        <is>
          <t>Critical</t>
        </is>
      </c>
      <c r="AD10" s="23" t="inlineStr">
        <is>
          <t>Partial</t>
        </is>
      </c>
      <c r="AE10" s="23" t="inlineStr">
        <is>
          <t>Retire</t>
        </is>
      </c>
      <c r="AF10" s="23" t="inlineStr">
        <is>
          <t>Cutover day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Communications</t>
        </is>
      </c>
      <c r="C11" s="22" t="inlineStr">
        <is>
          <t>Board update</t>
        </is>
      </c>
      <c r="D11" s="22" t="inlineStr">
        <is>
          <t>Summary of timing, cost and risk</t>
        </is>
      </c>
      <c r="E11" s="23" t="inlineStr">
        <is>
          <t>Chief of staff</t>
        </is>
      </c>
      <c r="F11" s="23" t="inlineStr">
        <is>
          <t>Board portal</t>
        </is>
      </c>
      <c r="G11" s="25" t="n">
        <v>250</v>
      </c>
      <c r="H11" s="25" t="n">
        <v>225</v>
      </c>
      <c r="I11" s="28" t="n">
        <v>0.75</v>
      </c>
      <c r="J11" s="12">
        <f>IF(OR(H11="",I11=""),"",ROUND(H11*I11,0))</f>
        <v/>
      </c>
      <c r="K11" s="23" t="inlineStr">
        <is>
          <t>Technical configuration</t>
        </is>
      </c>
      <c r="L11" s="23" t="inlineStr">
        <is>
          <t>Medium</t>
        </is>
      </c>
      <c r="M11" s="25" t="n">
        <v>4</v>
      </c>
      <c r="N11" s="29" t="n">
        <v>4</v>
      </c>
      <c r="O11" s="25" t="n">
        <v>8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>
        <v>5000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Yes</t>
        </is>
      </c>
      <c r="X11" s="23" t="inlineStr">
        <is>
          <t>Partial</t>
        </is>
      </c>
      <c r="Y11" s="23" t="inlineStr">
        <is>
          <t>No</t>
        </is>
      </c>
      <c r="Z11" s="22" t="n"/>
      <c r="AA11" s="25" t="n">
        <v>60</v>
      </c>
      <c r="AB11" s="23" t="inlineStr">
        <is>
          <t>Critical</t>
        </is>
      </c>
      <c r="AC11" s="23" t="inlineStr">
        <is>
          <t>Critical</t>
        </is>
      </c>
      <c r="AD11" s="23" t="inlineStr">
        <is>
          <t>No</t>
        </is>
      </c>
      <c r="AE11" s="23" t="inlineStr">
        <is>
          <t>Update</t>
        </is>
      </c>
      <c r="AF11" s="23" t="inlineStr">
        <is>
          <t>Before cutover</t>
        </is>
      </c>
      <c r="AG11" s="23" t="inlineStr">
        <is>
          <t>Not started</t>
        </is>
      </c>
      <c r="AH11" s="22" t="n"/>
    </row>
    <row r="12">
      <c r="B12" s="23" t="inlineStr">
        <is>
          <t>Communications</t>
        </is>
      </c>
      <c r="C12" s="22" t="inlineStr">
        <is>
          <t>All-hands announcement</t>
        </is>
      </c>
      <c r="D12" s="22" t="inlineStr">
        <is>
          <t>Internal launch announcement</t>
        </is>
      </c>
      <c r="E12" s="23" t="inlineStr">
        <is>
          <t>Internal comms lead</t>
        </is>
      </c>
      <c r="F12" s="23" t="inlineStr">
        <is>
          <t>Intranet</t>
        </is>
      </c>
      <c r="G12" s="25" t="n">
        <v>4</v>
      </c>
      <c r="H12" s="25" t="n">
        <v>4</v>
      </c>
      <c r="I12" s="28" t="n">
        <v>0.5</v>
      </c>
      <c r="J12" s="12">
        <f>IF(OR(H12="",I12=""),"",ROUND(H12*I12,0))</f>
        <v/>
      </c>
      <c r="K12" s="23" t="inlineStr">
        <is>
          <t>Content update</t>
        </is>
      </c>
      <c r="L12" s="23" t="inlineStr">
        <is>
          <t>Critical</t>
        </is>
      </c>
      <c r="M12" s="25" t="n">
        <v>16</v>
      </c>
      <c r="N12" s="29" t="n">
        <v>0.5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>
        <v>95</v>
      </c>
      <c r="S12" s="14">
        <f>IF(OR(P12="",R12=""),"",P12*R12)</f>
        <v/>
      </c>
      <c r="T12" s="32" t="n">
        <v>30000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No</t>
        </is>
      </c>
      <c r="Y12" s="23" t="inlineStr">
        <is>
          <t>No</t>
        </is>
      </c>
      <c r="Z12" s="22" t="n"/>
      <c r="AA12" s="25" t="n">
        <v>14</v>
      </c>
      <c r="AB12" s="23" t="inlineStr">
        <is>
          <t>Medium</t>
        </is>
      </c>
      <c r="AC12" s="23" t="inlineStr">
        <is>
          <t>Medium</t>
        </is>
      </c>
      <c r="AD12" s="23" t="inlineStr">
        <is>
          <t>No</t>
        </is>
      </c>
      <c r="AE12" s="23" t="inlineStr">
        <is>
          <t>Retire</t>
        </is>
      </c>
      <c r="AF12" s="23" t="inlineStr">
        <is>
          <t>31–90 days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Executive &amp; Strategy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47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30" customWidth="1" min="2" max="2"/>
    <col width="18" customWidth="1" min="3" max="3"/>
    <col width="14" customWidth="1" min="4" max="4"/>
    <col width="16" customWidth="1" min="5" max="5"/>
    <col width="16" customWidth="1" min="6" max="6"/>
    <col width="16" customWidth="1" min="7" max="7"/>
    <col width="17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Lists and definitions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choices behind the drop-downs, the FTE day setting and what each column means.</t>
        </is>
      </c>
    </row>
    <row r="5" ht="26" customHeight="1">
      <c r="B5" s="35" t="inlineStr">
        <is>
          <t>Drop-down lists</t>
        </is>
      </c>
    </row>
    <row r="6" ht="22" customHeight="1">
      <c r="B6" s="36" t="inlineStr">
        <is>
          <t>Change type</t>
        </is>
      </c>
      <c r="C6" s="36" t="inlineStr">
        <is>
          <t>Level</t>
        </is>
      </c>
      <c r="D6" s="36" t="inlineStr">
        <is>
          <t>Yes / no</t>
        </is>
      </c>
      <c r="E6" s="36" t="inlineStr">
        <is>
          <t>Disposition</t>
        </is>
      </c>
      <c r="F6" s="36" t="inlineStr">
        <is>
          <t>Required timing</t>
        </is>
      </c>
      <c r="G6" s="36" t="inlineStr">
        <is>
          <t>Status</t>
        </is>
      </c>
      <c r="H6" s="36" t="inlineStr">
        <is>
          <t>Decision status</t>
        </is>
      </c>
    </row>
    <row r="7">
      <c r="B7" s="23" t="inlineStr">
        <is>
          <t>Content update</t>
        </is>
      </c>
      <c r="C7" s="23" t="inlineStr">
        <is>
          <t>Low</t>
        </is>
      </c>
      <c r="D7" s="23" t="inlineStr">
        <is>
          <t>Yes</t>
        </is>
      </c>
      <c r="E7" s="23" t="inlineStr">
        <is>
          <t>Update</t>
        </is>
      </c>
      <c r="F7" s="23" t="inlineStr">
        <is>
          <t>Before cutover</t>
        </is>
      </c>
      <c r="G7" s="23" t="inlineStr">
        <is>
          <t>Not started</t>
        </is>
      </c>
      <c r="H7" s="23" t="inlineStr">
        <is>
          <t>Open</t>
        </is>
      </c>
    </row>
    <row r="8">
      <c r="B8" s="23" t="inlineStr">
        <is>
          <t>Visual update</t>
        </is>
      </c>
      <c r="C8" s="23" t="inlineStr">
        <is>
          <t>Medium</t>
        </is>
      </c>
      <c r="D8" s="23" t="inlineStr">
        <is>
          <t>No</t>
        </is>
      </c>
      <c r="E8" s="23" t="inlineStr">
        <is>
          <t>Redirect</t>
        </is>
      </c>
      <c r="F8" s="23" t="inlineStr">
        <is>
          <t>Cutover day</t>
        </is>
      </c>
      <c r="G8" s="23" t="inlineStr">
        <is>
          <t>Scoping</t>
        </is>
      </c>
      <c r="H8" s="23" t="inlineStr">
        <is>
          <t>In review</t>
        </is>
      </c>
    </row>
    <row r="9">
      <c r="B9" s="23" t="inlineStr">
        <is>
          <t>URL / link</t>
        </is>
      </c>
      <c r="C9" s="23" t="inlineStr">
        <is>
          <t>High</t>
        </is>
      </c>
      <c r="D9" s="23" t="inlineStr">
        <is>
          <t>Partial</t>
        </is>
      </c>
      <c r="E9" s="23" t="inlineStr">
        <is>
          <t>Merge</t>
        </is>
      </c>
      <c r="F9" s="23" t="inlineStr">
        <is>
          <t>0–30 days</t>
        </is>
      </c>
      <c r="G9" s="23" t="inlineStr">
        <is>
          <t>Validated</t>
        </is>
      </c>
      <c r="H9" s="23" t="inlineStr">
        <is>
          <t>Decided</t>
        </is>
      </c>
    </row>
    <row r="10">
      <c r="B10" s="23" t="inlineStr">
        <is>
          <t>Legal text</t>
        </is>
      </c>
      <c r="C10" s="23" t="inlineStr">
        <is>
          <t>Critical</t>
        </is>
      </c>
      <c r="D10" s="23" t="inlineStr">
        <is>
          <t>Unknown</t>
        </is>
      </c>
      <c r="E10" s="23" t="inlineStr">
        <is>
          <t>Keep as is</t>
        </is>
      </c>
      <c r="F10" s="23" t="inlineStr">
        <is>
          <t>31–90 days</t>
        </is>
      </c>
      <c r="G10" s="23" t="inlineStr">
        <is>
          <t>Approved</t>
        </is>
      </c>
      <c r="H10" s="23" t="inlineStr">
        <is>
          <t>Deferred</t>
        </is>
      </c>
    </row>
    <row r="11">
      <c r="B11" s="23" t="inlineStr">
        <is>
          <t>Technical configuration</t>
        </is>
      </c>
      <c r="E11" s="23" t="inlineStr">
        <is>
          <t>Archive</t>
        </is>
      </c>
      <c r="F11" s="23" t="inlineStr">
        <is>
          <t>90+ days</t>
        </is>
      </c>
      <c r="G11" s="23" t="inlineStr">
        <is>
          <t>In progress</t>
        </is>
      </c>
    </row>
    <row r="12">
      <c r="B12" s="23" t="inlineStr">
        <is>
          <t>Full rebuild</t>
        </is>
      </c>
      <c r="E12" s="23" t="inlineStr">
        <is>
          <t>Retire</t>
        </is>
      </c>
      <c r="F12" s="23" t="inlineStr">
        <is>
          <t>TBD</t>
        </is>
      </c>
      <c r="G12" s="23" t="inlineStr">
        <is>
          <t>Complete</t>
        </is>
      </c>
    </row>
    <row r="13">
      <c r="B13" s="23" t="inlineStr">
        <is>
          <t>Multiple changes</t>
        </is>
      </c>
      <c r="E13" s="23" t="inlineStr">
        <is>
          <t>No change</t>
        </is>
      </c>
      <c r="G13" s="23" t="inlineStr">
        <is>
          <t>Not applicable</t>
        </is>
      </c>
    </row>
    <row r="14">
      <c r="B14" s="23" t="inlineStr">
        <is>
          <t>Review only</t>
        </is>
      </c>
    </row>
    <row r="17">
      <c r="B17" s="3" t="inlineStr">
        <is>
          <t>Setting</t>
        </is>
      </c>
    </row>
    <row r="18">
      <c r="B18" s="37" t="inlineStr">
        <is>
          <t>Hours per FTE day</t>
        </is>
      </c>
      <c r="C18" s="38" t="n">
        <v>8</v>
      </c>
    </row>
    <row r="21">
      <c r="B21" s="3" t="inlineStr">
        <is>
          <t>Column definitions</t>
        </is>
      </c>
    </row>
    <row r="22" ht="22" customHeight="1">
      <c r="B22" s="10" t="inlineStr">
        <is>
          <t>Column</t>
        </is>
      </c>
      <c r="C22" s="10" t="inlineStr">
        <is>
          <t>What to enter</t>
        </is>
      </c>
    </row>
    <row r="23" ht="28" customHeight="1">
      <c r="B23" s="39" t="inlineStr">
        <is>
          <t>System or location</t>
        </is>
      </c>
      <c r="C23" s="40" t="inlineStr">
        <is>
          <t>Where the item lives or is managed today: a CMS, CRM, shared drive, codebase or vendor platform.</t>
        </is>
      </c>
      <c r="D23" s="21" t="n"/>
      <c r="E23" s="21" t="n"/>
      <c r="F23" s="21" t="n"/>
      <c r="G23" s="21" t="n"/>
      <c r="H23" s="21" t="n"/>
    </row>
    <row r="24" ht="28" customHeight="1">
      <c r="B24" s="39" t="inlineStr">
        <is>
          <t>Total quantity</t>
        </is>
      </c>
      <c r="C24" s="40" t="inlineStr">
        <is>
          <t>Every known item of this kind, including old and archived ones.</t>
        </is>
      </c>
      <c r="D24" s="21" t="n"/>
      <c r="E24" s="21" t="n"/>
      <c r="F24" s="21" t="n"/>
      <c r="G24" s="21" t="n"/>
      <c r="H24" s="21" t="n"/>
    </row>
    <row r="25" ht="28" customHeight="1">
      <c r="B25" s="39" t="inlineStr">
        <is>
          <t>Active quantity</t>
        </is>
      </c>
      <c r="C25" s="40" t="inlineStr">
        <is>
          <t>Items still in use that need a look. Leave out anything already obsolete.</t>
        </is>
      </c>
      <c r="D25" s="21" t="n"/>
      <c r="E25" s="21" t="n"/>
      <c r="F25" s="21" t="n"/>
      <c r="G25" s="21" t="n"/>
      <c r="H25" s="21" t="n"/>
    </row>
    <row r="26" ht="28" customHeight="1">
      <c r="B26" s="39" t="inlineStr">
        <is>
          <t>% needing change</t>
        </is>
      </c>
      <c r="C26" s="40" t="inlineStr">
        <is>
          <t>Your best estimate of the share of active items that will need work.</t>
        </is>
      </c>
      <c r="D26" s="21" t="n"/>
      <c r="E26" s="21" t="n"/>
      <c r="F26" s="21" t="n"/>
      <c r="G26" s="21" t="n"/>
      <c r="H26" s="21" t="n"/>
    </row>
    <row r="27" ht="28" customHeight="1">
      <c r="B27" s="39" t="inlineStr">
        <is>
          <t>Items to update</t>
        </is>
      </c>
      <c r="C27" s="40" t="inlineStr">
        <is>
          <t>Calculated: active quantity × % needing change.</t>
        </is>
      </c>
      <c r="D27" s="21" t="n"/>
      <c r="E27" s="21" t="n"/>
      <c r="F27" s="21" t="n"/>
      <c r="G27" s="21" t="n"/>
      <c r="H27" s="21" t="n"/>
    </row>
    <row r="28" ht="28" customHeight="1">
      <c r="B28" s="39" t="inlineStr">
        <is>
          <t>Change type</t>
        </is>
      </c>
      <c r="C28" s="40" t="inlineStr">
        <is>
          <t>The main kind of change: content, visual, links, legal text, technical set-up, a rebuild, several, or review only.</t>
        </is>
      </c>
      <c r="D28" s="21" t="n"/>
      <c r="E28" s="21" t="n"/>
      <c r="F28" s="21" t="n"/>
      <c r="G28" s="21" t="n"/>
      <c r="H28" s="21" t="n"/>
    </row>
    <row r="29" ht="28" customHeight="1">
      <c r="B29" s="39" t="inlineStr">
        <is>
          <t>Complexity</t>
        </is>
      </c>
      <c r="C29" s="40" t="inlineStr">
        <is>
          <t>How hard the change is, counting effort, approvals, testing and risk: low, medium, high or critical.</t>
        </is>
      </c>
      <c r="D29" s="21" t="n"/>
      <c r="E29" s="21" t="n"/>
      <c r="F29" s="21" t="n"/>
      <c r="G29" s="21" t="n"/>
      <c r="H29" s="21" t="n"/>
    </row>
    <row r="30" ht="28" customHeight="1">
      <c r="B30" s="39" t="inlineStr">
        <is>
          <t>One-time setup hours</t>
        </is>
      </c>
      <c r="C30" s="40" t="inlineStr">
        <is>
          <t>Hours to build the new master, template or configuration once, before item-by-item work.</t>
        </is>
      </c>
      <c r="D30" s="21" t="n"/>
      <c r="E30" s="21" t="n"/>
      <c r="F30" s="21" t="n"/>
      <c r="G30" s="21" t="n"/>
      <c r="H30" s="21" t="n"/>
    </row>
    <row r="31" ht="28" customHeight="1">
      <c r="B31" s="39" t="inlineStr">
        <is>
          <t>Avg hours per item</t>
        </is>
      </c>
      <c r="C31" s="40" t="inlineStr">
        <is>
          <t>Hands-on hours to update one item once set-up is done.</t>
        </is>
      </c>
      <c r="D31" s="21" t="n"/>
      <c r="E31" s="21" t="n"/>
      <c r="F31" s="21" t="n"/>
      <c r="G31" s="21" t="n"/>
      <c r="H31" s="21" t="n"/>
    </row>
    <row r="32" ht="28" customHeight="1">
      <c r="B32" s="39" t="inlineStr">
        <is>
          <t>QA and review hours</t>
        </is>
      </c>
      <c r="C32" s="40" t="inlineStr">
        <is>
          <t>Total hours for review, testing, approvals and checks for the whole row, not per item.</t>
        </is>
      </c>
      <c r="D32" s="21" t="n"/>
      <c r="E32" s="21" t="n"/>
      <c r="F32" s="21" t="n"/>
      <c r="G32" s="21" t="n"/>
      <c r="H32" s="21" t="n"/>
    </row>
    <row r="33" ht="28" customHeight="1">
      <c r="B33" s="39" t="inlineStr">
        <is>
          <t>Total internal hours</t>
        </is>
      </c>
      <c r="C33" s="40" t="inlineStr">
        <is>
          <t>Calculated: setup hours + (items to update × avg hours per item) + QA hours.</t>
        </is>
      </c>
      <c r="D33" s="21" t="n"/>
      <c r="E33" s="21" t="n"/>
      <c r="F33" s="21" t="n"/>
      <c r="G33" s="21" t="n"/>
      <c r="H33" s="21" t="n"/>
    </row>
    <row r="34" ht="28" customHeight="1">
      <c r="B34" s="39" t="inlineStr">
        <is>
          <t>Internal FTE days</t>
        </is>
      </c>
      <c r="C34" s="40" t="inlineStr">
        <is>
          <t>Calculated: total internal hours ÷ hours per FTE day (set below). A planning measure, not a staffing plan.</t>
        </is>
      </c>
      <c r="D34" s="21" t="n"/>
      <c r="E34" s="21" t="n"/>
      <c r="F34" s="21" t="n"/>
      <c r="G34" s="21" t="n"/>
      <c r="H34" s="21" t="n"/>
    </row>
    <row r="35" ht="28" customHeight="1">
      <c r="B35" s="39" t="inlineStr">
        <is>
          <t>Blended hourly rate</t>
        </is>
      </c>
      <c r="C35" s="40" t="inlineStr">
        <is>
          <t>An agreed average hourly cost for the internal people doing the work.</t>
        </is>
      </c>
      <c r="D35" s="21" t="n"/>
      <c r="E35" s="21" t="n"/>
      <c r="F35" s="21" t="n"/>
      <c r="G35" s="21" t="n"/>
      <c r="H35" s="21" t="n"/>
    </row>
    <row r="36" ht="28" customHeight="1">
      <c r="B36" s="39" t="inlineStr">
        <is>
          <t>Internal cost</t>
        </is>
      </c>
      <c r="C36" s="40" t="inlineStr">
        <is>
          <t>Calculated: total internal hours × blended hourly rate.</t>
        </is>
      </c>
      <c r="D36" s="21" t="n"/>
      <c r="E36" s="21" t="n"/>
      <c r="F36" s="21" t="n"/>
      <c r="G36" s="21" t="n"/>
      <c r="H36" s="21" t="n"/>
    </row>
    <row r="37" ht="28" customHeight="1">
      <c r="B37" s="39" t="inlineStr">
        <is>
          <t>External or vendor cost</t>
        </is>
      </c>
      <c r="C37" s="40" t="inlineStr">
        <is>
          <t>Agencies, contractors, developers, printers, translators, software and other outside spend.</t>
        </is>
      </c>
      <c r="D37" s="21" t="n"/>
      <c r="E37" s="21" t="n"/>
      <c r="F37" s="21" t="n"/>
      <c r="G37" s="21" t="n"/>
      <c r="H37" s="21" t="n"/>
    </row>
    <row r="38" ht="28" customHeight="1">
      <c r="B38" s="39" t="inlineStr">
        <is>
          <t>Total estimated cost</t>
        </is>
      </c>
      <c r="C38" s="40" t="inlineStr">
        <is>
          <t>Calculated: internal cost + external or vendor cost.</t>
        </is>
      </c>
      <c r="D38" s="21" t="n"/>
      <c r="E38" s="21" t="n"/>
      <c r="F38" s="21" t="n"/>
      <c r="G38" s="21" t="n"/>
      <c r="H38" s="21" t="n"/>
    </row>
    <row r="39" ht="28" customHeight="1">
      <c r="B39" s="39" t="inlineStr">
        <is>
          <t>Can bulk update or automate?</t>
        </is>
      </c>
      <c r="C39" s="40" t="inlineStr">
        <is>
          <t>Whether scripts, bulk edits, global templates or configuration can do some of the work.</t>
        </is>
      </c>
      <c r="D39" s="21" t="n"/>
      <c r="E39" s="21" t="n"/>
      <c r="F39" s="21" t="n"/>
      <c r="G39" s="21" t="n"/>
      <c r="H39" s="21" t="n"/>
    </row>
    <row r="40" ht="28" customHeight="1">
      <c r="B40" s="39" t="inlineStr">
        <is>
          <t>Customer action needed?</t>
        </is>
      </c>
      <c r="C40" s="40" t="inlineStr">
        <is>
          <t>Whether customers must change something themselves, such as allowlists, integrations or SSO.</t>
        </is>
      </c>
      <c r="D40" s="21" t="n"/>
      <c r="E40" s="21" t="n"/>
      <c r="F40" s="21" t="n"/>
      <c r="G40" s="21" t="n"/>
      <c r="H40" s="21" t="n"/>
    </row>
    <row r="41" ht="28" customHeight="1">
      <c r="B41" s="39" t="inlineStr">
        <is>
          <t>External notice needed?</t>
        </is>
      </c>
      <c r="C41" s="40" t="inlineStr">
        <is>
          <t>Whether customers, partners, suppliers or others must be told, even if they don't act.</t>
        </is>
      </c>
      <c r="D41" s="21" t="n"/>
      <c r="E41" s="21" t="n"/>
      <c r="F41" s="21" t="n"/>
      <c r="G41" s="21" t="n"/>
      <c r="H41" s="21" t="n"/>
    </row>
    <row r="42" ht="28" customHeight="1">
      <c r="B42" s="39" t="inlineStr">
        <is>
          <t>Lead time</t>
        </is>
      </c>
      <c r="C42" s="40" t="inlineStr">
        <is>
          <t>Elapsed calendar days from start to done, including waiting and approvals. Different from effort.</t>
        </is>
      </c>
      <c r="D42" s="21" t="n"/>
      <c r="E42" s="21" t="n"/>
      <c r="F42" s="21" t="n"/>
      <c r="G42" s="21" t="n"/>
      <c r="H42" s="21" t="n"/>
    </row>
    <row r="43" ht="28" customHeight="1">
      <c r="B43" s="39" t="inlineStr">
        <is>
          <t>Business risk if missed</t>
        </is>
      </c>
      <c r="C43" s="40" t="inlineStr">
        <is>
          <t>The impact if the item isn't done right or on time: legal, financial, operational or reputational.</t>
        </is>
      </c>
      <c r="D43" s="21" t="n"/>
      <c r="E43" s="21" t="n"/>
      <c r="F43" s="21" t="n"/>
      <c r="G43" s="21" t="n"/>
      <c r="H43" s="21" t="n"/>
    </row>
    <row r="44" ht="28" customHeight="1">
      <c r="B44" s="39" t="inlineStr">
        <is>
          <t>Customer disruption</t>
        </is>
      </c>
      <c r="C44" s="40" t="inlineStr">
        <is>
          <t>How much customers would feel it if the change went wrong.</t>
        </is>
      </c>
      <c r="D44" s="21" t="n"/>
      <c r="E44" s="21" t="n"/>
      <c r="F44" s="21" t="n"/>
      <c r="G44" s="21" t="n"/>
      <c r="H44" s="21" t="n"/>
    </row>
    <row r="45" ht="28" customHeight="1">
      <c r="B45" s="39" t="inlineStr">
        <is>
          <t>Old and new side by side?</t>
        </is>
      </c>
      <c r="C45" s="40" t="inlineStr">
        <is>
          <t>Whether the current and new versions can run in parallel during the transition.</t>
        </is>
      </c>
      <c r="D45" s="21" t="n"/>
      <c r="E45" s="21" t="n"/>
      <c r="F45" s="21" t="n"/>
      <c r="G45" s="21" t="n"/>
      <c r="H45" s="21" t="n"/>
    </row>
    <row r="46" ht="28" customHeight="1">
      <c r="B46" s="39" t="inlineStr">
        <is>
          <t>Disposition</t>
        </is>
      </c>
      <c r="C46" s="40" t="inlineStr">
        <is>
          <t>What should happen to the item: update, redirect, merge, keep as is, archive, retire or no change.</t>
        </is>
      </c>
      <c r="D46" s="21" t="n"/>
      <c r="E46" s="21" t="n"/>
      <c r="F46" s="21" t="n"/>
      <c r="G46" s="21" t="n"/>
      <c r="H46" s="21" t="n"/>
    </row>
    <row r="47" ht="28" customHeight="1">
      <c r="B47" s="39" t="inlineStr">
        <is>
          <t>Required timing</t>
        </is>
      </c>
      <c r="C47" s="40" t="inlineStr">
        <is>
          <t>When it must be done relative to cutover: before, on the day, or within 30, 90 or more days.</t>
        </is>
      </c>
      <c r="D47" s="21" t="n"/>
      <c r="E47" s="21" t="n"/>
      <c r="F47" s="21" t="n"/>
      <c r="G47" s="21" t="n"/>
      <c r="H47" s="21" t="n"/>
    </row>
  </sheetData>
  <mergeCells count="26">
    <mergeCell ref="C25:H25"/>
    <mergeCell ref="C41:H41"/>
    <mergeCell ref="C47:H47"/>
    <mergeCell ref="C44:H44"/>
    <mergeCell ref="C22:H22"/>
    <mergeCell ref="C40:H40"/>
    <mergeCell ref="C31:H31"/>
    <mergeCell ref="C43:H43"/>
    <mergeCell ref="C46:H46"/>
    <mergeCell ref="C36:H36"/>
    <mergeCell ref="C27:H27"/>
    <mergeCell ref="C23:H23"/>
    <mergeCell ref="C39:H39"/>
    <mergeCell ref="C32:H32"/>
    <mergeCell ref="C38:H38"/>
    <mergeCell ref="C28:H28"/>
    <mergeCell ref="C37:H37"/>
    <mergeCell ref="C34:H34"/>
    <mergeCell ref="C30:H30"/>
    <mergeCell ref="C33:H33"/>
    <mergeCell ref="C24:H24"/>
    <mergeCell ref="C42:H42"/>
    <mergeCell ref="C45:H45"/>
    <mergeCell ref="C35:H35"/>
    <mergeCell ref="C26:H26"/>
    <mergeCell ref="C29:H29"/>
  </mergeCell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2026-10-16T17:24:54Z</dcterms:created>
  <dcterms:modified xmlns:dcterms="http://purl.org/dc/terms/" xmlns:xsi="http://www.w3.org/2001/XMLSchema-instance" xsi:type="dcterms:W3CDTF">2026-10-16T17:24:57Z</dcterms:modified>
</cp:coreProperties>
</file>