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Digital Marketing" sheetId="3" state="visible" r:id="rId3"/>
    <sheet xmlns:r="http://schemas.openxmlformats.org/officeDocument/2006/relationships" name="Creative" sheetId="4" state="visible" r:id="rId4"/>
    <sheet xmlns:r="http://schemas.openxmlformats.org/officeDocument/2006/relationships" name="Content" sheetId="5" state="visible" r:id="rId5"/>
    <sheet xmlns:r="http://schemas.openxmlformats.org/officeDocument/2006/relationships" name="Events" sheetId="6" state="visible" r:id="rId6"/>
    <sheet xmlns:r="http://schemas.openxmlformats.org/officeDocument/2006/relationships" name="Customer Advocacy" sheetId="7" state="visible" r:id="rId7"/>
    <sheet xmlns:r="http://schemas.openxmlformats.org/officeDocument/2006/relationships" name="Public Relations" sheetId="8" state="visible" r:id="rId8"/>
    <sheet xmlns:r="http://schemas.openxmlformats.org/officeDocument/2006/relationships" name="Technology" sheetId="9" state="visible" r:id="rId9"/>
    <sheet xmlns:r="http://schemas.openxmlformats.org/officeDocument/2006/relationships" name="Lists" sheetId="10" state="visible" r:id="rId10"/>
  </sheets>
  <definedNames>
    <definedName name="_xlnm._FilterDatabase" localSheetId="2" hidden="1">'Digital Marketing'!$B$8:$J$38</definedName>
    <definedName name="_xlnm._FilterDatabase" localSheetId="3" hidden="1">'Creative'!$B$8:$J$38</definedName>
    <definedName name="_xlnm._FilterDatabase" localSheetId="4" hidden="1">'Content'!$B$8:$J$38</definedName>
    <definedName name="_xlnm._FilterDatabase" localSheetId="5" hidden="1">'Events'!$B$8:$J$38</definedName>
    <definedName name="_xlnm._FilterDatabase" localSheetId="6" hidden="1">'Customer Advocacy'!$B$8:$J$38</definedName>
    <definedName name="_xlnm._FilterDatabase" localSheetId="7" hidden="1">'Public Relations'!$B$8:$J$38</definedName>
    <definedName name="_xlnm._FilterDatabase" localSheetId="8" hidden="1">'Technology'!$B$8:$J$38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$#,##0;-$#,##0;&quot;–&quot;"/>
    <numFmt numFmtId="165" formatCode="▲ $#,##0;▼ $#,##0;&quot;–&quot;"/>
    <numFmt numFmtId="166" formatCode="▲ 0.0%;▼ 0.0%;&quot;–&quot;"/>
    <numFmt numFmtId="167" formatCode="yyyy-mm-dd"/>
    <numFmt numFmtId="168" formatCode="d mmm yyyy"/>
  </numFmts>
  <fonts count="9">
    <font>
      <name val="Segoe UI"/>
      <family val="2"/>
      <color rgb="00183958"/>
      <sz val="10"/>
      <scheme val="minor"/>
    </font>
    <font>
      <name val="Segoe UI"/>
      <color rgb="00183958"/>
      <sz val="10"/>
    </font>
    <font>
      <name val="Segoe UI"/>
      <b val="1"/>
      <color rgb="00FFFFFF"/>
      <sz val="16"/>
    </font>
    <font>
      <name val="Segoe UI"/>
      <b val="1"/>
      <color rgb="000E2030"/>
      <sz val="12"/>
    </font>
    <font>
      <name val="Segoe UI"/>
      <color rgb="000062A8"/>
      <sz val="10"/>
    </font>
    <font>
      <name val="Segoe UI"/>
      <b val="1"/>
      <color rgb="000E2030"/>
      <sz val="10"/>
    </font>
    <font>
      <name val="Segoe UI"/>
      <color rgb="00677C91"/>
      <sz val="9"/>
    </font>
    <font>
      <name val="Segoe UI"/>
      <b val="1"/>
      <color rgb="00FFFFFF"/>
      <sz val="10"/>
    </font>
    <font>
      <name val="Segoe UI"/>
      <b val="1"/>
      <color rgb="000062A8"/>
      <sz val="11"/>
    </font>
  </fonts>
  <fills count="6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E2030"/>
      </patternFill>
    </fill>
    <fill>
      <patternFill patternType="solid">
        <fgColor rgb="00E0E9F2"/>
      </patternFill>
    </fill>
  </fills>
  <borders count="5">
    <border>
      <left/>
      <right/>
      <top/>
      <bottom/>
      <diagonal/>
    </border>
    <border>
      <left style="thin">
        <color rgb="00FFFFFF"/>
      </left>
      <bottom style="thin">
        <color rgb="00D0DEEC"/>
      </bottom>
    </border>
    <border>
      <left style="thin">
        <color rgb="00FFFFFF"/>
      </left>
    </border>
    <border>
      <left style="thin">
        <color rgb="00FFFFFF"/>
      </left>
      <top style="thin">
        <color rgb="000E2030"/>
      </top>
    </border>
    <border>
      <left/>
      <right/>
      <top/>
      <bottom style="thin">
        <color rgb="00D0DEEC"/>
      </bottom>
      <diagonal/>
    </border>
  </borders>
  <cellStyleXfs count="1">
    <xf numFmtId="0" fontId="1" fillId="0" borderId="0"/>
  </cellStyleXfs>
  <cellXfs count="25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3" borderId="0" pivotButton="0" quotePrefix="0" xfId="0"/>
    <xf numFmtId="0" fontId="5" fillId="0" borderId="0" pivotButton="0" quotePrefix="0" xfId="0"/>
    <xf numFmtId="1" fontId="4" fillId="3" borderId="1" applyAlignment="1" pivotButton="0" quotePrefix="0" xfId="0">
      <alignment horizontal="left" vertical="top" indent="1"/>
    </xf>
    <xf numFmtId="0" fontId="6" fillId="0" borderId="0" pivotButton="0" quotePrefix="0" xfId="0"/>
    <xf numFmtId="0" fontId="7" fillId="4" borderId="2" applyAlignment="1" pivotButton="0" quotePrefix="0" xfId="0">
      <alignment horizontal="left" vertical="center" wrapText="1" indent="1"/>
    </xf>
    <xf numFmtId="0" fontId="1" fillId="0" borderId="1" applyAlignment="1" pivotButton="0" quotePrefix="0" xfId="0">
      <alignment horizontal="left" vertical="top" indent="1"/>
    </xf>
    <xf numFmtId="164" fontId="1" fillId="0" borderId="1" applyAlignment="1" pivotButton="0" quotePrefix="0" xfId="0">
      <alignment horizontal="right" vertical="top" indent="1"/>
    </xf>
    <xf numFmtId="165" fontId="1" fillId="0" borderId="1" applyAlignment="1" pivotButton="0" quotePrefix="0" xfId="0">
      <alignment horizontal="right" vertical="top" indent="1"/>
    </xf>
    <xf numFmtId="166" fontId="1" fillId="0" borderId="1" applyAlignment="1" pivotButton="0" quotePrefix="0" xfId="0">
      <alignment horizontal="right" vertical="top" indent="1"/>
    </xf>
    <xf numFmtId="0" fontId="5" fillId="5" borderId="3" applyAlignment="1" pivotButton="0" quotePrefix="0" xfId="0">
      <alignment horizontal="left" vertical="center" indent="1"/>
    </xf>
    <xf numFmtId="164" fontId="5" fillId="5" borderId="3" applyAlignment="1" pivotButton="0" quotePrefix="0" xfId="0">
      <alignment horizontal="right" vertical="center" indent="1"/>
    </xf>
    <xf numFmtId="165" fontId="5" fillId="5" borderId="3" applyAlignment="1" pivotButton="0" quotePrefix="0" xfId="0">
      <alignment horizontal="right" vertical="center" indent="1"/>
    </xf>
    <xf numFmtId="166" fontId="5" fillId="5" borderId="3" applyAlignment="1" pivotButton="0" quotePrefix="0" xfId="0">
      <alignment horizontal="right" vertical="center" indent="1"/>
    </xf>
    <xf numFmtId="0" fontId="4" fillId="3" borderId="1" applyAlignment="1" pivotButton="0" quotePrefix="0" xfId="0">
      <alignment horizontal="left" vertical="top" indent="1"/>
    </xf>
    <xf numFmtId="164" fontId="4" fillId="3" borderId="1" applyAlignment="1" pivotButton="0" quotePrefix="0" xfId="0">
      <alignment horizontal="right" vertical="top" indent="1"/>
    </xf>
    <xf numFmtId="0" fontId="4" fillId="3" borderId="1" applyAlignment="1" pivotButton="0" quotePrefix="0" xfId="0">
      <alignment horizontal="left" vertical="top" wrapText="1" indent="1"/>
    </xf>
    <xf numFmtId="0" fontId="0" fillId="0" borderId="4" pivotButton="0" quotePrefix="0" xfId="0"/>
    <xf numFmtId="0" fontId="5" fillId="5" borderId="3" applyAlignment="1" pivotButton="0" quotePrefix="0" xfId="0">
      <alignment horizontal="right" vertical="center" indent="1"/>
    </xf>
    <xf numFmtId="168" fontId="4" fillId="3" borderId="1" applyAlignment="1" pivotButton="0" quotePrefix="0" xfId="0">
      <alignment horizontal="right" vertical="top" indent="1"/>
    </xf>
    <xf numFmtId="0" fontId="8" fillId="3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chart1.xml><?xml version="1.0" encoding="utf-8"?>
<chartSpace xmlns="http://schemas.openxmlformats.org/drawingml/2006/chart">
  <roundedCorners val="0"/>
  <chart>
    <title>
      <tx>
        <strRef>
          <f>'Summary'!$B$35</f>
          <strCache>
            <ptCount val="1"/>
            <pt idx="0">
              <v>Budget by function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bar"/>
        <grouping val="clustered"/>
        <ser>
          <idx val="0"/>
          <order val="0"/>
          <tx>
            <strRef>
              <f>'Summary'!$C$9</f>
              <strCache>
                <ptCount val="1"/>
                <pt idx="0">
                  <v>2026 budget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'Summary'!$B$10:$B$16</f>
            </numRef>
          </cat>
          <val>
            <numRef>
              <f>'Summary'!$C$10:$C$16</f>
            </numRef>
          </val>
        </ser>
        <ser>
          <idx val="1"/>
          <order val="1"/>
          <tx>
            <strRef>
              <f>'Summary'!$D$9</f>
              <strCache>
                <ptCount val="1"/>
                <pt idx="0">
                  <v>2027 budget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'Summary'!$B$10:$B$16</f>
            </numRef>
          </cat>
          <val>
            <numRef>
              <f>'Summary'!$D$10:$D$16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121931818181818"/>
          <y val="0.035"/>
          <w val="0.3678068181818182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89928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1</col>
      <colOff>0</colOff>
      <row>36</row>
      <rowOff>0</rowOff>
    </from>
    <ext cx="7920000" cy="48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941195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18373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1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4" customWidth="1" min="2" max="2"/>
    <col width="26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Budget planning workbook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Set the plan year on the Summary tab. Every year label in the workbook follows it.</t>
        </is>
      </c>
    </row>
    <row r="6">
      <c r="B6" s="4" t="inlineStr">
        <is>
          <t>2. On each function tab, list every line item: category, activity, vendor, last year's budget and actual,</t>
        </is>
      </c>
    </row>
    <row r="7">
      <c r="B7" s="4" t="inlineStr">
        <is>
          <t xml:space="preserve">    and next year's budget. Variance and totals calculate.</t>
        </is>
      </c>
    </row>
    <row r="8">
      <c r="B8" s="4" t="inlineStr">
        <is>
          <t>3. The Summary rolls every function up, adds adjustments made outside the function tabs and lists</t>
        </is>
      </c>
    </row>
    <row r="9">
      <c r="B9" s="4" t="inlineStr">
        <is>
          <t xml:space="preserve">    net-new headcount. Its chart updates with the numbers.</t>
        </is>
      </c>
    </row>
    <row r="10">
      <c r="B10" s="4" t="inlineStr">
        <is>
          <t>4. To add a function, copy a function tab, rename it and add a row to the Summary that points to its total.</t>
        </is>
      </c>
    </row>
    <row r="11">
      <c r="B11" s="4" t="inlineStr"/>
    </row>
    <row r="12">
      <c r="B12" s="3" t="inlineStr">
        <is>
          <t>Reading the numbers</t>
        </is>
      </c>
    </row>
    <row r="13">
      <c r="B13" s="4" t="inlineStr">
        <is>
          <t>Variance is next year's budget minus last year's: ▲ is an increase, ▼ a decrease.</t>
        </is>
      </c>
    </row>
    <row r="14">
      <c r="B14" s="4" t="inlineStr">
        <is>
          <t>Categories come from the Lists tab; type a new one if nothing fits, then add it to the list.</t>
        </is>
      </c>
    </row>
    <row r="15">
      <c r="B15" s="4" t="inlineStr"/>
    </row>
    <row r="16">
      <c r="B16" s="3" t="inlineStr">
        <is>
          <t>Cell styles</t>
        </is>
      </c>
    </row>
    <row r="17">
      <c r="B17" s="4" t="inlineStr">
        <is>
          <t>Light-blue cell, dark blue text = edit me · plain cell, navy text = formula or label, leave it</t>
        </is>
      </c>
    </row>
    <row r="18">
      <c r="B18" s="4" t="inlineStr"/>
    </row>
    <row r="19">
      <c r="B19" s="4" t="inlineStr">
        <is>
          <t>All names and numbers in this template are examples. Replace them with your own.</t>
        </is>
      </c>
    </row>
    <row r="21">
      <c r="B21" s="5" t="inlineStr">
        <is>
          <t>Example input cell</t>
        </is>
      </c>
      <c r="C21" s="4" t="inlineStr">
        <is>
          <t>Example calculated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5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34" customWidth="1" min="2" max="2"/>
    <col width="16" customWidth="1" min="3" max="3"/>
    <col width="16" customWidth="1" min="4" max="4"/>
    <col width="15" customWidth="1" min="5" max="5"/>
    <col width="1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Budget summary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plan for every function on one page. It fills in from the function tabs. Light-blue cells are yours to fill in. White cells calculate; leave them as they are.</t>
        </is>
      </c>
    </row>
    <row r="6">
      <c r="B6" s="6" t="inlineStr">
        <is>
          <t>Plan year</t>
        </is>
      </c>
      <c r="C6" s="7" t="n">
        <v>2027</v>
      </c>
      <c r="D6" s="8" t="inlineStr">
        <is>
          <t>Change it and every year label in the workbook follows.</t>
        </is>
      </c>
    </row>
    <row r="8">
      <c r="B8" s="3" t="inlineStr">
        <is>
          <t>Budget by function</t>
        </is>
      </c>
    </row>
    <row r="9" ht="34" customHeight="1">
      <c r="B9" s="9" t="inlineStr">
        <is>
          <t>Function</t>
        </is>
      </c>
      <c r="C9" s="9">
        <f>$C$6-1&amp;" budget"</f>
        <v/>
      </c>
      <c r="D9" s="9">
        <f>$C$6&amp;" budget"</f>
        <v/>
      </c>
      <c r="E9" s="9" t="inlineStr">
        <is>
          <t>Variance $</t>
        </is>
      </c>
      <c r="F9" s="9" t="inlineStr">
        <is>
          <t>Variance %</t>
        </is>
      </c>
    </row>
    <row r="10">
      <c r="B10" s="10" t="inlineStr">
        <is>
          <t>Digital Marketing</t>
        </is>
      </c>
      <c r="C10" s="11">
        <f>'Digital Marketing'!E39</f>
        <v/>
      </c>
      <c r="D10" s="11">
        <f>'Digital Marketing'!G39</f>
        <v/>
      </c>
      <c r="E10" s="12">
        <f>D10-C10</f>
        <v/>
      </c>
      <c r="F10" s="13">
        <f>IF(C10=0,"",E10/C10)</f>
        <v/>
      </c>
    </row>
    <row r="11">
      <c r="B11" s="10" t="inlineStr">
        <is>
          <t>Creative</t>
        </is>
      </c>
      <c r="C11" s="11">
        <f>Creative!E39</f>
        <v/>
      </c>
      <c r="D11" s="11">
        <f>Creative!G39</f>
        <v/>
      </c>
      <c r="E11" s="12">
        <f>D11-C11</f>
        <v/>
      </c>
      <c r="F11" s="13">
        <f>IF(C11=0,"",E11/C11)</f>
        <v/>
      </c>
    </row>
    <row r="12">
      <c r="B12" s="10" t="inlineStr">
        <is>
          <t>Content</t>
        </is>
      </c>
      <c r="C12" s="11">
        <f>Content!E39</f>
        <v/>
      </c>
      <c r="D12" s="11">
        <f>Content!G39</f>
        <v/>
      </c>
      <c r="E12" s="12">
        <f>D12-C12</f>
        <v/>
      </c>
      <c r="F12" s="13">
        <f>IF(C12=0,"",E12/C12)</f>
        <v/>
      </c>
    </row>
    <row r="13">
      <c r="B13" s="10" t="inlineStr">
        <is>
          <t>Events</t>
        </is>
      </c>
      <c r="C13" s="11">
        <f>Events!E39</f>
        <v/>
      </c>
      <c r="D13" s="11">
        <f>Events!G39</f>
        <v/>
      </c>
      <c r="E13" s="12">
        <f>D13-C13</f>
        <v/>
      </c>
      <c r="F13" s="13">
        <f>IF(C13=0,"",E13/C13)</f>
        <v/>
      </c>
    </row>
    <row r="14">
      <c r="B14" s="10" t="inlineStr">
        <is>
          <t>Customer Advocacy</t>
        </is>
      </c>
      <c r="C14" s="11">
        <f>'Customer Advocacy'!E39</f>
        <v/>
      </c>
      <c r="D14" s="11">
        <f>'Customer Advocacy'!G39</f>
        <v/>
      </c>
      <c r="E14" s="12">
        <f>D14-C14</f>
        <v/>
      </c>
      <c r="F14" s="13">
        <f>IF(C14=0,"",E14/C14)</f>
        <v/>
      </c>
    </row>
    <row r="15">
      <c r="B15" s="10" t="inlineStr">
        <is>
          <t>Public Relations</t>
        </is>
      </c>
      <c r="C15" s="11">
        <f>'Public Relations'!E39</f>
        <v/>
      </c>
      <c r="D15" s="11">
        <f>'Public Relations'!G39</f>
        <v/>
      </c>
      <c r="E15" s="12">
        <f>D15-C15</f>
        <v/>
      </c>
      <c r="F15" s="13">
        <f>IF(C15=0,"",E15/C15)</f>
        <v/>
      </c>
    </row>
    <row r="16">
      <c r="B16" s="10" t="inlineStr">
        <is>
          <t>Technology</t>
        </is>
      </c>
      <c r="C16" s="11">
        <f>Technology!E39</f>
        <v/>
      </c>
      <c r="D16" s="11">
        <f>Technology!G39</f>
        <v/>
      </c>
      <c r="E16" s="12">
        <f>D16-C16</f>
        <v/>
      </c>
      <c r="F16" s="13">
        <f>IF(C16=0,"",E16/C16)</f>
        <v/>
      </c>
    </row>
    <row r="17">
      <c r="B17" s="14" t="inlineStr">
        <is>
          <t>Total</t>
        </is>
      </c>
      <c r="C17" s="15">
        <f>SUM(C10:C16)</f>
        <v/>
      </c>
      <c r="D17" s="15">
        <f>SUM(D10:D16)</f>
        <v/>
      </c>
      <c r="E17" s="16">
        <f>D17-C17</f>
        <v/>
      </c>
      <c r="F17" s="17">
        <f>IF(C17=0,"",E17/C17)</f>
        <v/>
      </c>
    </row>
    <row r="19">
      <c r="B19" s="3" t="inlineStr">
        <is>
          <t>Adjustments outside the function tabs</t>
        </is>
      </c>
    </row>
    <row r="20" ht="22" customHeight="1">
      <c r="B20" s="9" t="inlineStr">
        <is>
          <t>Adjustment</t>
        </is>
      </c>
      <c r="C20" s="9" t="inlineStr">
        <is>
          <t>Amount</t>
        </is>
      </c>
      <c r="D20" s="9" t="inlineStr">
        <is>
          <t>Notes</t>
        </is>
      </c>
    </row>
    <row r="21">
      <c r="B21" s="18" t="inlineStr">
        <is>
          <t>Spend moved in from another team</t>
        </is>
      </c>
      <c r="C21" s="19" t="n">
        <v>25000</v>
      </c>
      <c r="D21" s="20" t="inlineStr">
        <is>
          <t>Reviews program moves to this budget.</t>
        </is>
      </c>
      <c r="E21" s="21" t="n"/>
      <c r="F21" s="21" t="n"/>
    </row>
    <row r="22">
      <c r="B22" s="18" t="inlineStr">
        <is>
          <t>Incremental program spend</t>
        </is>
      </c>
      <c r="C22" s="19" t="n">
        <v>60000</v>
      </c>
      <c r="D22" s="20" t="inlineStr">
        <is>
          <t>Approved separately for growth markets.</t>
        </is>
      </c>
      <c r="E22" s="21" t="n"/>
      <c r="F22" s="21" t="n"/>
    </row>
    <row r="23">
      <c r="B23" s="18" t="n"/>
      <c r="C23" s="19" t="n"/>
      <c r="D23" s="20" t="n"/>
      <c r="E23" s="21" t="n"/>
      <c r="F23" s="21" t="n"/>
    </row>
    <row r="24">
      <c r="B24" s="14" t="inlineStr">
        <is>
          <t>Plan total with adjustments</t>
        </is>
      </c>
      <c r="C24" s="15">
        <f>D17+SUM(C21:C23)</f>
        <v/>
      </c>
      <c r="D24" s="22" t="n"/>
      <c r="E24" s="22" t="n"/>
      <c r="F24" s="22" t="n"/>
    </row>
    <row r="26">
      <c r="B26" s="3" t="inlineStr">
        <is>
          <t>Net-new headcount</t>
        </is>
      </c>
    </row>
    <row r="27" ht="22" customHeight="1">
      <c r="B27" s="9" t="inlineStr">
        <is>
          <t>Role</t>
        </is>
      </c>
      <c r="C27" s="9" t="inlineStr">
        <is>
          <t>Function</t>
        </is>
      </c>
      <c r="D27" s="9" t="inlineStr">
        <is>
          <t>Start date</t>
        </is>
      </c>
      <c r="E27" s="9" t="inlineStr">
        <is>
          <t>Annual cost</t>
        </is>
      </c>
      <c r="F27" s="9" t="inlineStr">
        <is>
          <t>Status</t>
        </is>
      </c>
    </row>
    <row r="28">
      <c r="B28" s="18" t="inlineStr">
        <is>
          <t>Graphic designer</t>
        </is>
      </c>
      <c r="C28" s="18" t="inlineStr">
        <is>
          <t>Creative</t>
        </is>
      </c>
      <c r="D28" s="23" t="n">
        <v>46391</v>
      </c>
      <c r="E28" s="19" t="n">
        <v>95000</v>
      </c>
      <c r="F28" s="18" t="inlineStr">
        <is>
          <t>Approved</t>
        </is>
      </c>
    </row>
    <row r="29">
      <c r="B29" s="18" t="inlineStr">
        <is>
          <t>Events coordinator</t>
        </is>
      </c>
      <c r="C29" s="18" t="inlineStr">
        <is>
          <t>Events</t>
        </is>
      </c>
      <c r="D29" s="23" t="n">
        <v>46478</v>
      </c>
      <c r="E29" s="19" t="n">
        <v>82000</v>
      </c>
      <c r="F29" s="18" t="inlineStr">
        <is>
          <t>Requested</t>
        </is>
      </c>
    </row>
    <row r="30">
      <c r="B30" s="18" t="n"/>
      <c r="C30" s="18" t="n"/>
      <c r="D30" s="23" t="n"/>
      <c r="E30" s="19" t="n"/>
      <c r="F30" s="18" t="n"/>
    </row>
    <row r="31">
      <c r="B31" s="14" t="inlineStr">
        <is>
          <t>Headcount total</t>
        </is>
      </c>
      <c r="C31" s="22">
        <f>COUNTA(B28:B30)&amp;" roles"</f>
        <v/>
      </c>
      <c r="D31" s="22" t="n"/>
      <c r="E31" s="15">
        <f>SUM(E28:E30)</f>
        <v/>
      </c>
      <c r="F31" s="22" t="n"/>
    </row>
    <row r="34">
      <c r="B34" s="8" t="inlineStr">
        <is>
          <t>Chart title</t>
        </is>
      </c>
    </row>
    <row r="35">
      <c r="B35" s="24" t="inlineStr">
        <is>
          <t>Budget by function</t>
        </is>
      </c>
    </row>
  </sheetData>
  <mergeCells count="5">
    <mergeCell ref="D23:F23"/>
    <mergeCell ref="D22:F22"/>
    <mergeCell ref="D21:F21"/>
    <mergeCell ref="D20:F20"/>
    <mergeCell ref="B35:F35"/>
  </mergeCells>
  <dataValidations count="2">
    <dataValidation sqref="C28:C30" showDropDown="0" showInputMessage="0" showErrorMessage="0" allowBlank="1" error="That isn't on the list. Keep it anyway?" type="list" errorStyle="information">
      <formula1>=$B$10:$B$16</formula1>
    </dataValidation>
    <dataValidation sqref="F28:F30" showDropDown="0" showInputMessage="0" showErrorMessage="0" allowBlank="1" type="list">
      <formula1>"Requested,Approved,Hired,On hold"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Digital Marketing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Agency &amp; services</t>
        </is>
      </c>
      <c r="C9" s="20" t="inlineStr">
        <is>
          <t>Web and digital agency retainer</t>
        </is>
      </c>
      <c r="D9" s="18" t="inlineStr">
        <is>
          <t>Digital agency</t>
        </is>
      </c>
      <c r="E9" s="19" t="n">
        <v>180000</v>
      </c>
      <c r="F9" s="19" t="n">
        <v>176400</v>
      </c>
      <c r="G9" s="19" t="n">
        <v>192000</v>
      </c>
      <c r="H9" s="12">
        <f>IF(AND(E9="",G9=""),"",N(G9)-N(E9))</f>
        <v/>
      </c>
      <c r="I9" s="13">
        <f>IF(OR(N(E9)=0,G9=""),"",H9/E9)</f>
        <v/>
      </c>
      <c r="J9" s="20" t="inlineStr">
        <is>
          <t>Adds 10 retainer hours a month at the current rate.</t>
        </is>
      </c>
    </row>
    <row r="10">
      <c r="B10" s="18" t="inlineStr">
        <is>
          <t>Paid media</t>
        </is>
      </c>
      <c r="C10" s="20" t="inlineStr">
        <is>
          <t>Search ads</t>
        </is>
      </c>
      <c r="D10" s="18" t="inlineStr">
        <is>
          <t>Search ads platform</t>
        </is>
      </c>
      <c r="E10" s="19" t="n">
        <v>216000</v>
      </c>
      <c r="F10" s="19" t="n">
        <v>223500</v>
      </c>
      <c r="G10" s="19" t="n">
        <v>240000</v>
      </c>
      <c r="H10" s="12">
        <f>IF(AND(E10="",G10=""),"",N(G10)-N(E10))</f>
        <v/>
      </c>
      <c r="I10" s="13">
        <f>IF(OR(N(E10)=0,G10=""),"",H10/E10)</f>
        <v/>
      </c>
      <c r="J10" s="20" t="inlineStr">
        <is>
          <t>Raises monthly spend to defend branded search terms.</t>
        </is>
      </c>
    </row>
    <row r="11">
      <c r="B11" s="18" t="inlineStr">
        <is>
          <t>Paid media</t>
        </is>
      </c>
      <c r="C11" s="20" t="inlineStr">
        <is>
          <t>Social ads</t>
        </is>
      </c>
      <c r="D11" s="18" t="inlineStr">
        <is>
          <t>Professional network ads</t>
        </is>
      </c>
      <c r="E11" s="19" t="n">
        <v>150000</v>
      </c>
      <c r="F11" s="19" t="n">
        <v>141200</v>
      </c>
      <c r="G11" s="19" t="n">
        <v>150000</v>
      </c>
      <c r="H11" s="12">
        <f>IF(AND(E11="",G11=""),"",N(G11)-N(E11))</f>
        <v/>
      </c>
      <c r="I11" s="13">
        <f>IF(OR(N(E11)=0,G11=""),"",H11/E11)</f>
        <v/>
      </c>
      <c r="J11" s="20" t="n"/>
    </row>
    <row r="12">
      <c r="B12" s="18" t="inlineStr">
        <is>
          <t>Paid media</t>
        </is>
      </c>
      <c r="C12" s="20" t="inlineStr">
        <is>
          <t>Display and retargeting</t>
        </is>
      </c>
      <c r="D12" s="18" t="inlineStr">
        <is>
          <t>Programmatic partner</t>
        </is>
      </c>
      <c r="E12" s="19" t="n">
        <v>60000</v>
      </c>
      <c r="F12" s="19" t="n">
        <v>58300</v>
      </c>
      <c r="G12" s="19" t="n">
        <v>54000</v>
      </c>
      <c r="H12" s="12">
        <f>IF(AND(E12="",G12=""),"",N(G12)-N(E12))</f>
        <v/>
      </c>
      <c r="I12" s="13">
        <f>IF(OR(N(E12)=0,G12=""),"",H12/E12)</f>
        <v/>
      </c>
      <c r="J12" s="20" t="inlineStr">
        <is>
          <t>Moves part of this into search.</t>
        </is>
      </c>
    </row>
    <row r="13">
      <c r="B13" s="18" t="n"/>
      <c r="C13" s="20" t="n"/>
      <c r="D13" s="18" t="n"/>
      <c r="E13" s="19" t="n"/>
      <c r="F13" s="19" t="n"/>
      <c r="G13" s="19" t="n"/>
      <c r="H13" s="12">
        <f>IF(AND(E13="",G13=""),"",N(G13)-N(E13))</f>
        <v/>
      </c>
      <c r="I13" s="13">
        <f>IF(OR(N(E13)=0,G13=""),"",H13/E13)</f>
        <v/>
      </c>
      <c r="J13" s="20" t="n"/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Digital Marketing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Creative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Agency &amp; services</t>
        </is>
      </c>
      <c r="C9" s="20" t="inlineStr">
        <is>
          <t>Design overflow support</t>
        </is>
      </c>
      <c r="D9" s="18" t="inlineStr">
        <is>
          <t>Freelance designers</t>
        </is>
      </c>
      <c r="E9" s="19" t="n">
        <v>90000</v>
      </c>
      <c r="F9" s="19" t="n">
        <v>84000</v>
      </c>
      <c r="G9" s="19" t="n">
        <v>96000</v>
      </c>
      <c r="H9" s="12">
        <f>IF(AND(E9="",G9=""),"",N(G9)-N(E9))</f>
        <v/>
      </c>
      <c r="I9" s="13">
        <f>IF(OR(N(E9)=0,G9=""),"",H9/E9)</f>
        <v/>
      </c>
      <c r="J9" s="20" t="n"/>
    </row>
    <row r="10">
      <c r="B10" s="18" t="inlineStr">
        <is>
          <t>Content production</t>
        </is>
      </c>
      <c r="C10" s="20" t="inlineStr">
        <is>
          <t>Photography and stock</t>
        </is>
      </c>
      <c r="D10" s="18" t="inlineStr">
        <is>
          <t>Stock library</t>
        </is>
      </c>
      <c r="E10" s="19" t="n">
        <v>24000</v>
      </c>
      <c r="F10" s="19" t="n">
        <v>24000</v>
      </c>
      <c r="G10" s="19" t="n">
        <v>26000</v>
      </c>
      <c r="H10" s="12">
        <f>IF(AND(E10="",G10=""),"",N(G10)-N(E10))</f>
        <v/>
      </c>
      <c r="I10" s="13">
        <f>IF(OR(N(E10)=0,G10=""),"",H10/E10)</f>
        <v/>
      </c>
      <c r="J10" s="20" t="inlineStr">
        <is>
          <t>Annual licence.</t>
        </is>
      </c>
    </row>
    <row r="11">
      <c r="B11" s="18" t="inlineStr">
        <is>
          <t>Content production</t>
        </is>
      </c>
      <c r="C11" s="20" t="inlineStr">
        <is>
          <t>Motion and animation</t>
        </is>
      </c>
      <c r="D11" s="18" t="inlineStr">
        <is>
          <t>Motion studio</t>
        </is>
      </c>
      <c r="E11" s="19" t="n">
        <v>40000</v>
      </c>
      <c r="F11" s="19" t="n">
        <v>36500</v>
      </c>
      <c r="G11" s="19" t="n">
        <v>45000</v>
      </c>
      <c r="H11" s="12">
        <f>IF(AND(E11="",G11=""),"",N(G11)-N(E11))</f>
        <v/>
      </c>
      <c r="I11" s="13">
        <f>IF(OR(N(E11)=0,G11=""),"",H11/E11)</f>
        <v/>
      </c>
      <c r="J11" s="20" t="inlineStr">
        <is>
          <t>Two product launch films.</t>
        </is>
      </c>
    </row>
    <row r="12">
      <c r="B12" s="18" t="n"/>
      <c r="C12" s="20" t="n"/>
      <c r="D12" s="18" t="n"/>
      <c r="E12" s="19" t="n"/>
      <c r="F12" s="19" t="n"/>
      <c r="G12" s="19" t="n"/>
      <c r="H12" s="12">
        <f>IF(AND(E12="",G12=""),"",N(G12)-N(E12))</f>
        <v/>
      </c>
      <c r="I12" s="13">
        <f>IF(OR(N(E12)=0,G12=""),"",H12/E12)</f>
        <v/>
      </c>
      <c r="J12" s="20" t="n"/>
    </row>
    <row r="13">
      <c r="B13" s="18" t="n"/>
      <c r="C13" s="20" t="n"/>
      <c r="D13" s="18" t="n"/>
      <c r="E13" s="19" t="n"/>
      <c r="F13" s="19" t="n"/>
      <c r="G13" s="19" t="n"/>
      <c r="H13" s="12">
        <f>IF(AND(E13="",G13=""),"",N(G13)-N(E13))</f>
        <v/>
      </c>
      <c r="I13" s="13">
        <f>IF(OR(N(E13)=0,G13=""),"",H13/E13)</f>
        <v/>
      </c>
      <c r="J13" s="20" t="n"/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Creative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Content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Agency &amp; services</t>
        </is>
      </c>
      <c r="C9" s="20" t="inlineStr">
        <is>
          <t>Writing support</t>
        </is>
      </c>
      <c r="D9" s="18" t="inlineStr">
        <is>
          <t>Content agency</t>
        </is>
      </c>
      <c r="E9" s="19" t="n">
        <v>72000</v>
      </c>
      <c r="F9" s="19" t="n">
        <v>70000</v>
      </c>
      <c r="G9" s="19" t="n">
        <v>78000</v>
      </c>
      <c r="H9" s="12">
        <f>IF(AND(E9="",G9=""),"",N(G9)-N(E9))</f>
        <v/>
      </c>
      <c r="I9" s="13">
        <f>IF(OR(N(E9)=0,G9=""),"",H9/E9)</f>
        <v/>
      </c>
      <c r="J9" s="20" t="n"/>
    </row>
    <row r="10">
      <c r="B10" s="18" t="inlineStr">
        <is>
          <t>Research &amp; analyst</t>
        </is>
      </c>
      <c r="C10" s="20" t="inlineStr">
        <is>
          <t>Industry research report</t>
        </is>
      </c>
      <c r="D10" s="18" t="inlineStr">
        <is>
          <t>Research partner</t>
        </is>
      </c>
      <c r="E10" s="19" t="n">
        <v>55000</v>
      </c>
      <c r="F10" s="19" t="n">
        <v>55000</v>
      </c>
      <c r="G10" s="19" t="n">
        <v>60000</v>
      </c>
      <c r="H10" s="12">
        <f>IF(AND(E10="",G10=""),"",N(G10)-N(E10))</f>
        <v/>
      </c>
      <c r="I10" s="13">
        <f>IF(OR(N(E10)=0,G10=""),"",H10/E10)</f>
        <v/>
      </c>
      <c r="J10" s="20" t="inlineStr">
        <is>
          <t>One flagship report a year.</t>
        </is>
      </c>
    </row>
    <row r="11">
      <c r="B11" s="18" t="inlineStr">
        <is>
          <t>Content production</t>
        </is>
      </c>
      <c r="C11" s="20" t="inlineStr">
        <is>
          <t>Translation and localization</t>
        </is>
      </c>
      <c r="D11" s="18" t="inlineStr">
        <is>
          <t>Translation vendor</t>
        </is>
      </c>
      <c r="E11" s="19" t="n">
        <v>30000</v>
      </c>
      <c r="F11" s="19" t="n">
        <v>27800</v>
      </c>
      <c r="G11" s="19" t="n">
        <v>36000</v>
      </c>
      <c r="H11" s="12">
        <f>IF(AND(E11="",G11=""),"",N(G11)-N(E11))</f>
        <v/>
      </c>
      <c r="I11" s="13">
        <f>IF(OR(N(E11)=0,G11=""),"",H11/E11)</f>
        <v/>
      </c>
      <c r="J11" s="20" t="inlineStr">
        <is>
          <t>Adds two languages.</t>
        </is>
      </c>
    </row>
    <row r="12">
      <c r="B12" s="18" t="n"/>
      <c r="C12" s="20" t="n"/>
      <c r="D12" s="18" t="n"/>
      <c r="E12" s="19" t="n"/>
      <c r="F12" s="19" t="n"/>
      <c r="G12" s="19" t="n"/>
      <c r="H12" s="12">
        <f>IF(AND(E12="",G12=""),"",N(G12)-N(E12))</f>
        <v/>
      </c>
      <c r="I12" s="13">
        <f>IF(OR(N(E12)=0,G12=""),"",H12/E12)</f>
        <v/>
      </c>
      <c r="J12" s="20" t="n"/>
    </row>
    <row r="13">
      <c r="B13" s="18" t="n"/>
      <c r="C13" s="20" t="n"/>
      <c r="D13" s="18" t="n"/>
      <c r="E13" s="19" t="n"/>
      <c r="F13" s="19" t="n"/>
      <c r="G13" s="19" t="n"/>
      <c r="H13" s="12">
        <f>IF(AND(E13="",G13=""),"",N(G13)-N(E13))</f>
        <v/>
      </c>
      <c r="I13" s="13">
        <f>IF(OR(N(E13)=0,G13=""),"",H13/E13)</f>
        <v/>
      </c>
      <c r="J13" s="20" t="n"/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Content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Events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Events</t>
        </is>
      </c>
      <c r="C9" s="20" t="inlineStr">
        <is>
          <t>Customer conference, North America</t>
        </is>
      </c>
      <c r="D9" s="18" t="inlineStr">
        <is>
          <t>Various</t>
        </is>
      </c>
      <c r="E9" s="19" t="n">
        <v>650000</v>
      </c>
      <c r="F9" s="19" t="n">
        <v>671200</v>
      </c>
      <c r="G9" s="19" t="n">
        <v>690000</v>
      </c>
      <c r="H9" s="12">
        <f>IF(AND(E9="",G9=""),"",N(G9)-N(E9))</f>
        <v/>
      </c>
      <c r="I9" s="13">
        <f>IF(OR(N(E9)=0,G9=""),"",H9/E9)</f>
        <v/>
      </c>
      <c r="J9" s="20" t="inlineStr">
        <is>
          <t>Venue and AV rates up about 6%.</t>
        </is>
      </c>
    </row>
    <row r="10">
      <c r="B10" s="18" t="inlineStr">
        <is>
          <t>Events</t>
        </is>
      </c>
      <c r="C10" s="20" t="inlineStr">
        <is>
          <t>Customer conference, EMEA</t>
        </is>
      </c>
      <c r="D10" s="18" t="inlineStr">
        <is>
          <t>Various</t>
        </is>
      </c>
      <c r="E10" s="19" t="n">
        <v>320000</v>
      </c>
      <c r="F10" s="19" t="n">
        <v>301500</v>
      </c>
      <c r="G10" s="19" t="n">
        <v>335000</v>
      </c>
      <c r="H10" s="12">
        <f>IF(AND(E10="",G10=""),"",N(G10)-N(E10))</f>
        <v/>
      </c>
      <c r="I10" s="13">
        <f>IF(OR(N(E10)=0,G10=""),"",H10/E10)</f>
        <v/>
      </c>
      <c r="J10" s="20" t="n"/>
    </row>
    <row r="11">
      <c r="B11" s="18" t="inlineStr">
        <is>
          <t>Events</t>
        </is>
      </c>
      <c r="C11" s="20" t="inlineStr">
        <is>
          <t>Customer conference, APAC</t>
        </is>
      </c>
      <c r="D11" s="18" t="inlineStr">
        <is>
          <t>Various</t>
        </is>
      </c>
      <c r="E11" s="19" t="n">
        <v>210000</v>
      </c>
      <c r="F11" s="19" t="n">
        <v>204300</v>
      </c>
      <c r="G11" s="19" t="n">
        <v>220000</v>
      </c>
      <c r="H11" s="12">
        <f>IF(AND(E11="",G11=""),"",N(G11)-N(E11))</f>
        <v/>
      </c>
      <c r="I11" s="13">
        <f>IF(OR(N(E11)=0,G11=""),"",H11/E11)</f>
        <v/>
      </c>
      <c r="J11" s="20" t="n"/>
    </row>
    <row r="12">
      <c r="B12" s="18" t="inlineStr">
        <is>
          <t>Events</t>
        </is>
      </c>
      <c r="C12" s="20" t="inlineStr">
        <is>
          <t>Industry tradeshows</t>
        </is>
      </c>
      <c r="D12" s="18" t="inlineStr">
        <is>
          <t>Various</t>
        </is>
      </c>
      <c r="E12" s="19" t="n">
        <v>180000</v>
      </c>
      <c r="F12" s="19" t="n">
        <v>172000</v>
      </c>
      <c r="G12" s="19" t="n">
        <v>180000</v>
      </c>
      <c r="H12" s="12">
        <f>IF(AND(E12="",G12=""),"",N(G12)-N(E12))</f>
        <v/>
      </c>
      <c r="I12" s="13">
        <f>IF(OR(N(E12)=0,G12=""),"",H12/E12)</f>
        <v/>
      </c>
      <c r="J12" s="20" t="inlineStr">
        <is>
          <t>Six shows, same as this year.</t>
        </is>
      </c>
    </row>
    <row r="13">
      <c r="B13" s="18" t="inlineStr">
        <is>
          <t>Promo &amp; gifting</t>
        </is>
      </c>
      <c r="C13" s="20" t="inlineStr">
        <is>
          <t>Event giveaways</t>
        </is>
      </c>
      <c r="D13" s="18" t="inlineStr">
        <is>
          <t>Promo supplier</t>
        </is>
      </c>
      <c r="E13" s="19" t="n">
        <v>35000</v>
      </c>
      <c r="F13" s="19" t="n">
        <v>38900</v>
      </c>
      <c r="G13" s="19" t="n">
        <v>36000</v>
      </c>
      <c r="H13" s="12">
        <f>IF(AND(E13="",G13=""),"",N(G13)-N(E13))</f>
        <v/>
      </c>
      <c r="I13" s="13">
        <f>IF(OR(N(E13)=0,G13=""),"",H13/E13)</f>
        <v/>
      </c>
      <c r="J13" s="20" t="n"/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Events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Customer Advocacy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Agency &amp; services</t>
        </is>
      </c>
      <c r="C9" s="20" t="inlineStr">
        <is>
          <t>Customer video stories</t>
        </is>
      </c>
      <c r="D9" s="18" t="inlineStr">
        <is>
          <t>Video production partner</t>
        </is>
      </c>
      <c r="E9" s="19" t="n">
        <v>85000</v>
      </c>
      <c r="F9" s="19" t="n">
        <v>80000</v>
      </c>
      <c r="G9" s="19" t="n">
        <v>90000</v>
      </c>
      <c r="H9" s="12">
        <f>IF(AND(E9="",G9=""),"",N(G9)-N(E9))</f>
        <v/>
      </c>
      <c r="I9" s="13">
        <f>IF(OR(N(E9)=0,G9=""),"",H9/E9)</f>
        <v/>
      </c>
      <c r="J9" s="20" t="inlineStr">
        <is>
          <t>One video per region.</t>
        </is>
      </c>
    </row>
    <row r="10">
      <c r="B10" s="18" t="inlineStr">
        <is>
          <t>Customer events</t>
        </is>
      </c>
      <c r="C10" s="20" t="inlineStr">
        <is>
          <t>Advisory board dinners</t>
        </is>
      </c>
      <c r="D10" s="18" t="inlineStr">
        <is>
          <t>Various</t>
        </is>
      </c>
      <c r="E10" s="19" t="n">
        <v>40000</v>
      </c>
      <c r="F10" s="19" t="n">
        <v>36000</v>
      </c>
      <c r="G10" s="19" t="n">
        <v>48000</v>
      </c>
      <c r="H10" s="12">
        <f>IF(AND(E10="",G10=""),"",N(G10)-N(E10))</f>
        <v/>
      </c>
      <c r="I10" s="13">
        <f>IF(OR(N(E10)=0,G10=""),"",H10/E10)</f>
        <v/>
      </c>
      <c r="J10" s="20" t="inlineStr">
        <is>
          <t>Four dinners: two North America, one EMEA, one APAC.</t>
        </is>
      </c>
    </row>
    <row r="11">
      <c r="B11" s="18" t="inlineStr">
        <is>
          <t>Customer events</t>
        </is>
      </c>
      <c r="C11" s="20" t="inlineStr">
        <is>
          <t>User group meetups</t>
        </is>
      </c>
      <c r="D11" s="18" t="inlineStr">
        <is>
          <t>Various</t>
        </is>
      </c>
      <c r="E11" s="19" t="n">
        <v>25000</v>
      </c>
      <c r="F11" s="19" t="n">
        <v>21000</v>
      </c>
      <c r="G11" s="19" t="n">
        <v>30000</v>
      </c>
      <c r="H11" s="12">
        <f>IF(AND(E11="",G11=""),"",N(G11)-N(E11))</f>
        <v/>
      </c>
      <c r="I11" s="13">
        <f>IF(OR(N(E11)=0,G11=""),"",H11/E11)</f>
        <v/>
      </c>
      <c r="J11" s="20" t="n"/>
    </row>
    <row r="12">
      <c r="B12" s="18" t="inlineStr">
        <is>
          <t>Promo &amp; gifting</t>
        </is>
      </c>
      <c r="C12" s="20" t="inlineStr">
        <is>
          <t>Advocate rewards</t>
        </is>
      </c>
      <c r="D12" s="18" t="inlineStr">
        <is>
          <t>Gifting platform</t>
        </is>
      </c>
      <c r="E12" s="19" t="n">
        <v>18000</v>
      </c>
      <c r="F12" s="19" t="n">
        <v>16400</v>
      </c>
      <c r="G12" s="19" t="n">
        <v>20000</v>
      </c>
      <c r="H12" s="12">
        <f>IF(AND(E12="",G12=""),"",N(G12)-N(E12))</f>
        <v/>
      </c>
      <c r="I12" s="13">
        <f>IF(OR(N(E12)=0,G12=""),"",H12/E12)</f>
        <v/>
      </c>
      <c r="J12" s="20" t="n"/>
    </row>
    <row r="13">
      <c r="B13" s="18" t="inlineStr">
        <is>
          <t>Technology &amp; software</t>
        </is>
      </c>
      <c r="C13" s="20" t="inlineStr">
        <is>
          <t>Reference management platform</t>
        </is>
      </c>
      <c r="D13" s="18" t="inlineStr">
        <is>
          <t>Advocacy platform</t>
        </is>
      </c>
      <c r="E13" s="19" t="n">
        <v>32000</v>
      </c>
      <c r="F13" s="19" t="n">
        <v>32000</v>
      </c>
      <c r="G13" s="19" t="n">
        <v>33600</v>
      </c>
      <c r="H13" s="12">
        <f>IF(AND(E13="",G13=""),"",N(G13)-N(E13))</f>
        <v/>
      </c>
      <c r="I13" s="13">
        <f>IF(OR(N(E13)=0,G13=""),"",H13/E13)</f>
        <v/>
      </c>
      <c r="J13" s="20" t="inlineStr">
        <is>
          <t>3% renewal uplift.</t>
        </is>
      </c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Customer Advocacy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Public Relations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Agency &amp; services</t>
        </is>
      </c>
      <c r="C9" s="20" t="inlineStr">
        <is>
          <t>PR agency retainer, global</t>
        </is>
      </c>
      <c r="D9" s="18" t="inlineStr">
        <is>
          <t>PR agency</t>
        </is>
      </c>
      <c r="E9" s="19" t="n">
        <v>240000</v>
      </c>
      <c r="F9" s="19" t="n">
        <v>240000</v>
      </c>
      <c r="G9" s="19" t="n">
        <v>252000</v>
      </c>
      <c r="H9" s="12">
        <f>IF(AND(E9="",G9=""),"",N(G9)-N(E9))</f>
        <v/>
      </c>
      <c r="I9" s="13">
        <f>IF(OR(N(E9)=0,G9=""),"",H9/E9)</f>
        <v/>
      </c>
      <c r="J9" s="20" t="n"/>
    </row>
    <row r="10">
      <c r="B10" s="18" t="inlineStr">
        <is>
          <t>Agency &amp; services</t>
        </is>
      </c>
      <c r="C10" s="20" t="inlineStr">
        <is>
          <t>Media monitoring</t>
        </is>
      </c>
      <c r="D10" s="18" t="inlineStr">
        <is>
          <t>Monitoring service</t>
        </is>
      </c>
      <c r="E10" s="19" t="n">
        <v>22000</v>
      </c>
      <c r="F10" s="19" t="n">
        <v>22000</v>
      </c>
      <c r="G10" s="19" t="n">
        <v>23000</v>
      </c>
      <c r="H10" s="12">
        <f>IF(AND(E10="",G10=""),"",N(G10)-N(E10))</f>
        <v/>
      </c>
      <c r="I10" s="13">
        <f>IF(OR(N(E10)=0,G10=""),"",H10/E10)</f>
        <v/>
      </c>
      <c r="J10" s="20" t="n"/>
    </row>
    <row r="11">
      <c r="B11" s="18" t="inlineStr">
        <is>
          <t>Research &amp; analyst</t>
        </is>
      </c>
      <c r="C11" s="20" t="inlineStr">
        <is>
          <t>Analyst relations program</t>
        </is>
      </c>
      <c r="D11" s="18" t="inlineStr">
        <is>
          <t>Analyst firm</t>
        </is>
      </c>
      <c r="E11" s="19" t="n">
        <v>95000</v>
      </c>
      <c r="F11" s="19" t="n">
        <v>95000</v>
      </c>
      <c r="G11" s="19" t="n">
        <v>98000</v>
      </c>
      <c r="H11" s="12">
        <f>IF(AND(E11="",G11=""),"",N(G11)-N(E11))</f>
        <v/>
      </c>
      <c r="I11" s="13">
        <f>IF(OR(N(E11)=0,G11=""),"",H11/E11)</f>
        <v/>
      </c>
      <c r="J11" s="20" t="n"/>
    </row>
    <row r="12">
      <c r="B12" s="18" t="inlineStr">
        <is>
          <t>Agency &amp; services</t>
        </is>
      </c>
      <c r="C12" s="20" t="inlineStr">
        <is>
          <t>Award entries</t>
        </is>
      </c>
      <c r="D12" s="18" t="inlineStr">
        <is>
          <t>Various</t>
        </is>
      </c>
      <c r="E12" s="19" t="n">
        <v>8000</v>
      </c>
      <c r="F12" s="19" t="n">
        <v>6500</v>
      </c>
      <c r="G12" s="19" t="n">
        <v>10000</v>
      </c>
      <c r="H12" s="12">
        <f>IF(AND(E12="",G12=""),"",N(G12)-N(E12))</f>
        <v/>
      </c>
      <c r="I12" s="13">
        <f>IF(OR(N(E12)=0,G12=""),"",H12/E12)</f>
        <v/>
      </c>
      <c r="J12" s="20" t="n"/>
    </row>
    <row r="13">
      <c r="B13" s="18" t="n"/>
      <c r="C13" s="20" t="n"/>
      <c r="D13" s="18" t="n"/>
      <c r="E13" s="19" t="n"/>
      <c r="F13" s="19" t="n"/>
      <c r="G13" s="19" t="n"/>
      <c r="H13" s="12">
        <f>IF(AND(E13="",G13=""),"",N(G13)-N(E13))</f>
        <v/>
      </c>
      <c r="I13" s="13">
        <f>IF(OR(N(E13)=0,G13=""),"",H13/E13)</f>
        <v/>
      </c>
      <c r="J13" s="20" t="n"/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Public Relations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Technology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Technology &amp; software</t>
        </is>
      </c>
      <c r="C9" s="20" t="inlineStr">
        <is>
          <t>Website hosting</t>
        </is>
      </c>
      <c r="D9" s="18" t="inlineStr">
        <is>
          <t>Managed host</t>
        </is>
      </c>
      <c r="E9" s="19" t="n">
        <v>36000</v>
      </c>
      <c r="F9" s="19" t="n">
        <v>36000</v>
      </c>
      <c r="G9" s="19" t="n">
        <v>38000</v>
      </c>
      <c r="H9" s="12">
        <f>IF(AND(E9="",G9=""),"",N(G9)-N(E9))</f>
        <v/>
      </c>
      <c r="I9" s="13">
        <f>IF(OR(N(E9)=0,G9=""),"",H9/E9)</f>
        <v/>
      </c>
      <c r="J9" s="20" t="n"/>
    </row>
    <row r="10">
      <c r="B10" s="18" t="inlineStr">
        <is>
          <t>Technology &amp; software</t>
        </is>
      </c>
      <c r="C10" s="20" t="inlineStr">
        <is>
          <t>Content management system</t>
        </is>
      </c>
      <c r="D10" s="18" t="inlineStr">
        <is>
          <t>CMS vendor</t>
        </is>
      </c>
      <c r="E10" s="19" t="n">
        <v>48000</v>
      </c>
      <c r="F10" s="19" t="n">
        <v>48000</v>
      </c>
      <c r="G10" s="19" t="n">
        <v>50000</v>
      </c>
      <c r="H10" s="12">
        <f>IF(AND(E10="",G10=""),"",N(G10)-N(E10))</f>
        <v/>
      </c>
      <c r="I10" s="13">
        <f>IF(OR(N(E10)=0,G10=""),"",H10/E10)</f>
        <v/>
      </c>
      <c r="J10" s="20" t="n"/>
    </row>
    <row r="11">
      <c r="B11" s="18" t="inlineStr">
        <is>
          <t>Technology &amp; software</t>
        </is>
      </c>
      <c r="C11" s="20" t="inlineStr">
        <is>
          <t>SEO and analytics suite</t>
        </is>
      </c>
      <c r="D11" s="18" t="inlineStr">
        <is>
          <t>SEO platform</t>
        </is>
      </c>
      <c r="E11" s="19" t="n">
        <v>30000</v>
      </c>
      <c r="F11" s="19" t="n">
        <v>30000</v>
      </c>
      <c r="G11" s="19" t="n">
        <v>31500</v>
      </c>
      <c r="H11" s="12">
        <f>IF(AND(E11="",G11=""),"",N(G11)-N(E11))</f>
        <v/>
      </c>
      <c r="I11" s="13">
        <f>IF(OR(N(E11)=0,G11=""),"",H11/E11)</f>
        <v/>
      </c>
      <c r="J11" s="20" t="n"/>
    </row>
    <row r="12">
      <c r="B12" s="18" t="inlineStr">
        <is>
          <t>Technology &amp; software</t>
        </is>
      </c>
      <c r="C12" s="20" t="inlineStr">
        <is>
          <t>Social media management</t>
        </is>
      </c>
      <c r="D12" s="18" t="inlineStr">
        <is>
          <t>Social platform</t>
        </is>
      </c>
      <c r="E12" s="19" t="n">
        <v>24000</v>
      </c>
      <c r="F12" s="19" t="n">
        <v>24000</v>
      </c>
      <c r="G12" s="19" t="n">
        <v>25200</v>
      </c>
      <c r="H12" s="12">
        <f>IF(AND(E12="",G12=""),"",N(G12)-N(E12))</f>
        <v/>
      </c>
      <c r="I12" s="13">
        <f>IF(OR(N(E12)=0,G12=""),"",H12/E12)</f>
        <v/>
      </c>
      <c r="J12" s="20" t="n"/>
    </row>
    <row r="13">
      <c r="B13" s="18" t="inlineStr">
        <is>
          <t>Technology &amp; software</t>
        </is>
      </c>
      <c r="C13" s="20" t="inlineStr">
        <is>
          <t>Design software seats</t>
        </is>
      </c>
      <c r="D13" s="18" t="inlineStr">
        <is>
          <t>Design suite</t>
        </is>
      </c>
      <c r="E13" s="19" t="n">
        <v>18000</v>
      </c>
      <c r="F13" s="19" t="n">
        <v>19200</v>
      </c>
      <c r="G13" s="19" t="n">
        <v>21000</v>
      </c>
      <c r="H13" s="12">
        <f>IF(AND(E13="",G13=""),"",N(G13)-N(E13))</f>
        <v/>
      </c>
      <c r="I13" s="13">
        <f>IF(OR(N(E13)=0,G13=""),"",H13/E13)</f>
        <v/>
      </c>
      <c r="J13" s="20" t="inlineStr">
        <is>
          <t>Adds two seats.</t>
        </is>
      </c>
    </row>
    <row r="14">
      <c r="B14" s="18" t="inlineStr">
        <is>
          <t>Technology &amp; software</t>
        </is>
      </c>
      <c r="C14" s="20" t="inlineStr">
        <is>
          <t>Digital asset management</t>
        </is>
      </c>
      <c r="D14" s="18" t="inlineStr">
        <is>
          <t>DAM vendor</t>
        </is>
      </c>
      <c r="E14" s="19" t="n">
        <v>40000</v>
      </c>
      <c r="F14" s="19" t="n">
        <v>40000</v>
      </c>
      <c r="G14" s="19" t="n">
        <v>42000</v>
      </c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inlineStr">
        <is>
          <t>Technology &amp; software</t>
        </is>
      </c>
      <c r="C15" s="20" t="inlineStr">
        <is>
          <t>Video hosting</t>
        </is>
      </c>
      <c r="D15" s="18" t="inlineStr">
        <is>
          <t>Video platform</t>
        </is>
      </c>
      <c r="E15" s="19" t="n">
        <v>15000</v>
      </c>
      <c r="F15" s="19" t="n">
        <v>15000</v>
      </c>
      <c r="G15" s="19" t="n">
        <v>15000</v>
      </c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Technology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8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Lists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choices behind the drop-downs. Add or rename items here.</t>
        </is>
      </c>
    </row>
    <row r="6" ht="22" customHeight="1">
      <c r="B6" s="9" t="inlineStr">
        <is>
          <t>Budget category</t>
        </is>
      </c>
    </row>
    <row r="7">
      <c r="B7" s="18" t="inlineStr">
        <is>
          <t>Agency &amp; services</t>
        </is>
      </c>
    </row>
    <row r="8">
      <c r="B8" s="18" t="inlineStr">
        <is>
          <t>Paid media</t>
        </is>
      </c>
    </row>
    <row r="9">
      <c r="B9" s="18" t="inlineStr">
        <is>
          <t>Content production</t>
        </is>
      </c>
    </row>
    <row r="10">
      <c r="B10" s="18" t="inlineStr">
        <is>
          <t>Events</t>
        </is>
      </c>
    </row>
    <row r="11">
      <c r="B11" s="18" t="inlineStr">
        <is>
          <t>Customer events</t>
        </is>
      </c>
    </row>
    <row r="12">
      <c r="B12" s="18" t="inlineStr">
        <is>
          <t>Promo &amp; gifting</t>
        </is>
      </c>
    </row>
    <row r="13">
      <c r="B13" s="18" t="inlineStr">
        <is>
          <t>Research &amp; analyst</t>
        </is>
      </c>
    </row>
    <row r="14">
      <c r="B14" s="18" t="inlineStr">
        <is>
          <t>Technology &amp; software</t>
        </is>
      </c>
    </row>
    <row r="15">
      <c r="B15" s="18" t="inlineStr">
        <is>
          <t>Travel</t>
        </is>
      </c>
    </row>
    <row r="16">
      <c r="B16" s="18" t="inlineStr">
        <is>
          <t>Other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2026-10-14T23:08:06Z</dcterms:created>
  <dcterms:modified xmlns:dcterms="http://purl.org/dc/terms/" xmlns:xsi="http://www.w3.org/2001/XMLSchema-instance" xsi:type="dcterms:W3CDTF">2026-10-14T23:08:07Z</dcterms:modified>
</cp:coreProperties>
</file>