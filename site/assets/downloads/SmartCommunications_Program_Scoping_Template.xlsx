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Dependencies" sheetId="4" state="visible" r:id="rId4"/>
    <sheet xmlns:r="http://schemas.openxmlformats.org/officeDocument/2006/relationships" name="Marketing" sheetId="5" state="visible" r:id="rId5"/>
    <sheet xmlns:r="http://schemas.openxmlformats.org/officeDocument/2006/relationships" name="Product" sheetId="6" state="visible" r:id="rId6"/>
    <sheet xmlns:r="http://schemas.openxmlformats.org/officeDocument/2006/relationships" name="Engineering" sheetId="7" state="visible" r:id="rId7"/>
    <sheet xmlns:r="http://schemas.openxmlformats.org/officeDocument/2006/relationships" name="IT &amp; Security" sheetId="8" state="visible" r:id="rId8"/>
    <sheet xmlns:r="http://schemas.openxmlformats.org/officeDocument/2006/relationships" name="Legal &amp; Privacy" sheetId="9" state="visible" r:id="rId9"/>
    <sheet xmlns:r="http://schemas.openxmlformats.org/officeDocument/2006/relationships" name="Sales Enablement" sheetId="10" state="visible" r:id="rId10"/>
    <sheet xmlns:r="http://schemas.openxmlformats.org/officeDocument/2006/relationships" name="Sales &amp; RevOps" sheetId="11" state="visible" r:id="rId11"/>
    <sheet xmlns:r="http://schemas.openxmlformats.org/officeDocument/2006/relationships" name="Customer Success" sheetId="12" state="visible" r:id="rId12"/>
    <sheet xmlns:r="http://schemas.openxmlformats.org/officeDocument/2006/relationships" name="Professional Services" sheetId="13" state="visible" r:id="rId13"/>
    <sheet xmlns:r="http://schemas.openxmlformats.org/officeDocument/2006/relationships" name="Customer Support" sheetId="14" state="visible" r:id="rId14"/>
    <sheet xmlns:r="http://schemas.openxmlformats.org/officeDocument/2006/relationships" name="Pre-Sales" sheetId="15" state="visible" r:id="rId15"/>
    <sheet xmlns:r="http://schemas.openxmlformats.org/officeDocument/2006/relationships" name="Partners" sheetId="16" state="visible" r:id="rId16"/>
    <sheet xmlns:r="http://schemas.openxmlformats.org/officeDocument/2006/relationships" name="HR" sheetId="17" state="visible" r:id="rId17"/>
    <sheet xmlns:r="http://schemas.openxmlformats.org/officeDocument/2006/relationships" name="Finance &amp; Procurement" sheetId="18" state="visible" r:id="rId18"/>
    <sheet xmlns:r="http://schemas.openxmlformats.org/officeDocument/2006/relationships" name="Executive &amp; Strategy" sheetId="19" state="visible" r:id="rId19"/>
    <sheet xmlns:r="http://schemas.openxmlformats.org/officeDocument/2006/relationships" name="Lists" sheetId="20" state="visible" r:id="rId20"/>
  </sheets>
  <definedNames>
    <definedName name="_xlnm._FilterDatabase" localSheetId="4" hidden="1">'Marketing'!$B$9:$AH$69</definedName>
    <definedName name="_xlnm._FilterDatabase" localSheetId="5" hidden="1">'Product'!$B$9:$AH$69</definedName>
    <definedName name="_xlnm._FilterDatabase" localSheetId="6" hidden="1">'Engineering'!$B$9:$AH$69</definedName>
    <definedName name="_xlnm._FilterDatabase" localSheetId="7" hidden="1">'IT &amp; Security'!$B$9:$AH$69</definedName>
    <definedName name="_xlnm._FilterDatabase" localSheetId="8" hidden="1">'Legal &amp; Privacy'!$B$9:$AH$69</definedName>
    <definedName name="_xlnm._FilterDatabase" localSheetId="9" hidden="1">'Sales Enablement'!$B$9:$AH$69</definedName>
    <definedName name="_xlnm._FilterDatabase" localSheetId="10" hidden="1">'Sales &amp; RevOps'!$B$9:$AH$69</definedName>
    <definedName name="_xlnm._FilterDatabase" localSheetId="11" hidden="1">'Customer Success'!$B$9:$AH$69</definedName>
    <definedName name="_xlnm._FilterDatabase" localSheetId="12" hidden="1">'Professional Services'!$B$9:$AH$69</definedName>
    <definedName name="_xlnm._FilterDatabase" localSheetId="13" hidden="1">'Customer Support'!$B$9:$AH$69</definedName>
    <definedName name="_xlnm._FilterDatabase" localSheetId="14" hidden="1">'Pre-Sales'!$B$9:$AH$69</definedName>
    <definedName name="_xlnm._FilterDatabase" localSheetId="15" hidden="1">'Partners'!$B$9:$AH$69</definedName>
    <definedName name="_xlnm._FilterDatabase" localSheetId="16" hidden="1">'HR'!$B$9:$AH$69</definedName>
    <definedName name="_xlnm._FilterDatabase" localSheetId="17" hidden="1">'Finance &amp; Procurement'!$B$9:$AH$69</definedName>
    <definedName name="_xlnm._FilterDatabase" localSheetId="18" hidden="1">'Executive &amp; Strategy'!$B$9:$AH$69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-$#,##0;&quot;–&quot;"/>
    <numFmt numFmtId="165" formatCode="#,##0.0"/>
    <numFmt numFmtId="166" formatCode="d mmm yyyy"/>
    <numFmt numFmtId="167" formatCode="0.0#"/>
    <numFmt numFmtId="168" formatCode="0.0"/>
    <numFmt numFmtId="169" formatCode="$#,##0"/>
  </numFmts>
  <fonts count="13">
    <font>
      <name val="Segoe UI"/>
      <family val="2"/>
      <color rgb="00183958"/>
      <sz val="11"/>
      <scheme val="minor"/>
    </font>
    <font>
      <name val="Segoe UI"/>
      <color rgb="00183958"/>
      <sz val="11"/>
    </font>
    <font>
      <name val="Segoe UI"/>
      <b val="1"/>
      <color rgb="00FFFFFF"/>
      <sz val="16"/>
    </font>
    <font>
      <name val="Segoe UI"/>
      <b val="1"/>
      <color rgb="000E2030"/>
      <sz val="13"/>
    </font>
    <font>
      <name val="Segoe UI"/>
      <color rgb="000A3184"/>
      <sz val="11"/>
    </font>
    <font>
      <name val="Segoe UI"/>
      <b val="1"/>
      <color rgb="00677C91"/>
      <sz val="10"/>
    </font>
    <font>
      <name val="Segoe UI"/>
      <color rgb="000E2030"/>
      <sz val="22"/>
    </font>
    <font>
      <name val="Segoe UI"/>
      <b val="1"/>
      <color rgb="00FFFFFF"/>
      <sz val="11"/>
    </font>
    <font>
      <name val="Segoe UI"/>
      <b val="1"/>
      <color rgb="000E2030"/>
      <sz val="11"/>
    </font>
    <font>
      <name val="Segoe UI"/>
      <color rgb="00677C91"/>
      <sz val="10"/>
    </font>
    <font>
      <name val="Segoe UI"/>
      <b val="1"/>
      <color rgb="000A3184"/>
      <sz val="12"/>
    </font>
    <font>
      <name val="Segoe UI"/>
      <b val="1"/>
      <color rgb="00FFFFFF"/>
      <sz val="10"/>
    </font>
    <font>
      <name val="Segoe UI"/>
      <b val="1"/>
      <color rgb="00183958"/>
      <sz val="11"/>
    </font>
  </fonts>
  <fills count="7">
    <fill>
      <patternFill/>
    </fill>
    <fill>
      <patternFill patternType="gray125"/>
    </fill>
    <fill>
      <patternFill patternType="solid">
        <fgColor rgb="00326EEF"/>
      </patternFill>
    </fill>
    <fill>
      <patternFill patternType="solid">
        <fgColor rgb="00EFF4F9"/>
      </patternFill>
    </fill>
    <fill>
      <patternFill patternType="solid">
        <fgColor rgb="00E0E9F2"/>
      </patternFill>
    </fill>
    <fill>
      <patternFill patternType="solid">
        <fgColor rgb="000E2030"/>
      </patternFill>
    </fill>
    <fill>
      <patternFill patternType="solid">
        <fgColor rgb="00183958"/>
      </patternFill>
    </fill>
  </fills>
  <borders count="8">
    <border>
      <left/>
      <right/>
      <top/>
      <bottom/>
      <diagonal/>
    </border>
    <border>
      <bottom style="thin">
        <color rgb="00D0DEEC"/>
      </bottom>
    </border>
    <border>
      <left style="thick">
        <color rgb="000094FF"/>
      </left>
    </border>
    <border/>
    <border>
      <left style="thin">
        <color rgb="00FFFFFF"/>
      </left>
    </border>
    <border>
      <left style="thin">
        <color rgb="00FFFFFF"/>
      </left>
      <bottom style="thin">
        <color rgb="00D0DEEC"/>
      </bottom>
    </border>
    <border>
      <left style="thin">
        <color rgb="00FFFFFF"/>
      </left>
      <top style="thin">
        <color rgb="000E2030"/>
      </top>
    </border>
    <border>
      <left/>
      <right/>
      <top/>
      <bottom style="thin">
        <color rgb="00D0DEEC"/>
      </bottom>
      <diagonal/>
    </border>
  </borders>
  <cellStyleXfs count="1">
    <xf numFmtId="0" fontId="1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1" fillId="0" borderId="0" pivotButton="0" quotePrefix="0" xfId="0"/>
    <xf numFmtId="0" fontId="4" fillId="0" borderId="1" pivotButton="0" quotePrefix="0" xfId="0"/>
    <xf numFmtId="0" fontId="1" fillId="3" borderId="0" pivotButton="0" quotePrefix="0" xfId="0"/>
    <xf numFmtId="0" fontId="5" fillId="4" borderId="2" applyAlignment="1" pivotButton="0" quotePrefix="0" xfId="0">
      <alignment horizontal="left" vertical="bottom" indent="1"/>
    </xf>
    <xf numFmtId="3" fontId="6" fillId="4" borderId="2" applyAlignment="1" pivotButton="0" quotePrefix="0" xfId="0">
      <alignment horizontal="left" vertical="top" indent="1"/>
    </xf>
    <xf numFmtId="164" fontId="6" fillId="4" borderId="2" applyAlignment="1" pivotButton="0" quotePrefix="0" xfId="0">
      <alignment horizontal="left" vertical="top" indent="1"/>
    </xf>
    <xf numFmtId="0" fontId="7" fillId="5" borderId="4" applyAlignment="1" pivotButton="0" quotePrefix="0" xfId="0">
      <alignment horizontal="left" vertical="center" wrapText="1" indent="1"/>
    </xf>
    <xf numFmtId="0" fontId="1" fillId="0" borderId="5" applyAlignment="1" pivotButton="0" quotePrefix="0" xfId="0">
      <alignment horizontal="left" vertical="top" indent="1"/>
    </xf>
    <xf numFmtId="3" fontId="1" fillId="3" borderId="5" applyAlignment="1" pivotButton="0" quotePrefix="0" xfId="0">
      <alignment horizontal="right" vertical="top" indent="1"/>
    </xf>
    <xf numFmtId="165" fontId="1" fillId="3" borderId="5" applyAlignment="1" pivotButton="0" quotePrefix="0" xfId="0">
      <alignment horizontal="right" vertical="top" indent="1"/>
    </xf>
    <xf numFmtId="164" fontId="1" fillId="3" borderId="5" applyAlignment="1" pivotButton="0" quotePrefix="0" xfId="0">
      <alignment horizontal="right" vertical="top" indent="1"/>
    </xf>
    <xf numFmtId="0" fontId="8" fillId="4" borderId="6" applyAlignment="1" pivotButton="0" quotePrefix="0" xfId="0">
      <alignment horizontal="left" vertical="center" indent="1"/>
    </xf>
    <xf numFmtId="3" fontId="8" fillId="4" borderId="6" applyAlignment="1" pivotButton="0" quotePrefix="0" xfId="0">
      <alignment horizontal="right" vertical="center" indent="1"/>
    </xf>
    <xf numFmtId="165" fontId="8" fillId="4" borderId="6" applyAlignment="1" pivotButton="0" quotePrefix="0" xfId="0">
      <alignment horizontal="right" vertical="center" indent="1"/>
    </xf>
    <xf numFmtId="164" fontId="8" fillId="4" borderId="6" applyAlignment="1" pivotButton="0" quotePrefix="0" xfId="0">
      <alignment horizontal="right" vertical="center" indent="1"/>
    </xf>
    <xf numFmtId="0" fontId="9" fillId="0" borderId="0" pivotButton="0" quotePrefix="0" xfId="0"/>
    <xf numFmtId="0" fontId="10" fillId="0" borderId="1" pivotButton="0" quotePrefix="0" xfId="0"/>
    <xf numFmtId="0" fontId="0" fillId="0" borderId="7" pivotButton="0" quotePrefix="0" xfId="0"/>
    <xf numFmtId="0" fontId="4" fillId="0" borderId="5" applyAlignment="1" pivotButton="0" quotePrefix="0" xfId="0">
      <alignment horizontal="left" vertical="top" wrapText="1" indent="1"/>
    </xf>
    <xf numFmtId="0" fontId="4" fillId="0" borderId="5" applyAlignment="1" pivotButton="0" quotePrefix="0" xfId="0">
      <alignment horizontal="left" vertical="top" indent="1"/>
    </xf>
    <xf numFmtId="166" fontId="4" fillId="0" borderId="5" applyAlignment="1" pivotButton="0" quotePrefix="0" xfId="0">
      <alignment horizontal="right" vertical="top" indent="1"/>
    </xf>
    <xf numFmtId="3" fontId="4" fillId="0" borderId="5" applyAlignment="1" pivotButton="0" quotePrefix="0" xfId="0">
      <alignment horizontal="right" vertical="top" indent="1"/>
    </xf>
    <xf numFmtId="0" fontId="11" fillId="6" borderId="4" applyAlignment="1" pivotButton="0" quotePrefix="0" xfId="0">
      <alignment horizontal="left" vertical="center" indent="1"/>
    </xf>
    <xf numFmtId="0" fontId="0" fillId="6" borderId="3" pivotButton="0" quotePrefix="0" xfId="0"/>
    <xf numFmtId="9" fontId="4" fillId="0" borderId="5" applyAlignment="1" pivotButton="0" quotePrefix="0" xfId="0">
      <alignment horizontal="right" vertical="top" indent="1"/>
    </xf>
    <xf numFmtId="167" fontId="4" fillId="0" borderId="5" applyAlignment="1" pivotButton="0" quotePrefix="0" xfId="0">
      <alignment horizontal="right" vertical="top" indent="1"/>
    </xf>
    <xf numFmtId="168" fontId="1" fillId="3" borderId="5" applyAlignment="1" pivotButton="0" quotePrefix="0" xfId="0">
      <alignment horizontal="right" vertical="top" indent="1"/>
    </xf>
    <xf numFmtId="169" fontId="4" fillId="0" borderId="5" applyAlignment="1" pivotButton="0" quotePrefix="0" xfId="0">
      <alignment horizontal="right" vertical="top" indent="1"/>
    </xf>
    <xf numFmtId="164" fontId="4" fillId="0" borderId="5" applyAlignment="1" pivotButton="0" quotePrefix="0" xfId="0">
      <alignment horizontal="right" vertical="top" indent="1"/>
    </xf>
    <xf numFmtId="0" fontId="8" fillId="4" borderId="6" applyAlignment="1" pivotButton="0" quotePrefix="0" xfId="0">
      <alignment horizontal="right" vertical="center" indent="1"/>
    </xf>
    <xf numFmtId="168" fontId="8" fillId="4" borderId="6" applyAlignment="1" pivotButton="0" quotePrefix="0" xfId="0">
      <alignment horizontal="right" vertical="center" indent="1"/>
    </xf>
    <xf numFmtId="0" fontId="3" fillId="0" borderId="0" applyAlignment="1" pivotButton="0" quotePrefix="0" xfId="0">
      <alignment vertical="bottom"/>
    </xf>
    <xf numFmtId="0" fontId="7" fillId="5" borderId="0" applyAlignment="1" pivotButton="0" quotePrefix="0" xfId="0">
      <alignment horizontal="left" vertical="center" indent="1"/>
    </xf>
    <xf numFmtId="0" fontId="8" fillId="0" borderId="0" pivotButton="0" quotePrefix="0" xfId="0"/>
    <xf numFmtId="1" fontId="4" fillId="0" borderId="5" applyAlignment="1" pivotButton="0" quotePrefix="0" xfId="0">
      <alignment horizontal="left" vertical="top" indent="1"/>
    </xf>
    <xf numFmtId="0" fontId="12" fillId="0" borderId="5" applyAlignment="1" pivotButton="0" quotePrefix="0" xfId="0">
      <alignment horizontal="left" vertical="top" indent="1"/>
    </xf>
    <xf numFmtId="0" fontId="1" fillId="0" borderId="5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2">
    <dxf>
      <font>
        <b val="1"/>
        <color rgb="000E2030"/>
      </font>
      <fill>
        <patternFill patternType="solid">
          <fgColor rgb="00D9C9F7"/>
          <bgColor rgb="00D9C9F7"/>
        </patternFill>
      </fill>
    </dxf>
    <dxf>
      <font>
        <b val="1"/>
        <color rgb="000E2030"/>
      </font>
      <fill>
        <patternFill patternType="solid">
          <fgColor rgb="00EAF2FF"/>
          <bgColor rgb="00EAF2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roundedCorners val="0"/>
  <chart>
    <title>
      <tx>
        <strRef>
          <f>'Summary'!$B$31</f>
          <strCache>
            <ptCount val="1"/>
            <pt idx="0">
              <v>Internal hours by function</v>
            </pt>
          </strCache>
        </strRef>
      </tx>
      <layout>
        <manualLayout>
          <xMode val="edge"/>
          <yMode val="edge"/>
          <wMode val="factor"/>
          <hMode val="factor"/>
          <x val="0.02"/>
          <y val="0.03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800" b="1">
              <a:solidFill>
                <a:srgbClr val="0E2030"/>
              </a:solidFill>
              <a:latin typeface="Segoe UI"/>
            </a:defRPr>
          </a:pPr>
          <a:r>
            <a:t/>
          </a:r>
          <a:endParaRPr sz="1800" b="1">
            <a:solidFill>
              <a:srgbClr val="0E2030"/>
            </a:solidFill>
            <a:latin typeface="Segoe UI"/>
          </a:endParaRPr>
        </a:p>
      </txPr>
    </title>
    <plotArea>
      <layout>
        <manualLayout>
          <xMode val="edge"/>
          <yMode val="edge"/>
          <wMode val="factor"/>
          <hMode val="factor"/>
          <x val="0.02"/>
          <y val="0.14"/>
          <w val="0.93"/>
          <h val="0.84"/>
        </manualLayout>
      </layout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094FF"/>
            </a:solidFill>
            <a:ln xmlns:a="http://schemas.openxmlformats.org/drawingml/2006/main">
              <a:noFill/>
              <a:prstDash val="solid"/>
            </a:ln>
          </spPr>
          <dLbls>
            <numFmt formatCode="&quot;  &quot;#,##0"/>
            <txPr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183958"/>
                    </a:solidFill>
                    <a:latin typeface="Segoe UI"/>
                  </a:defRPr>
                </a:pPr>
                <a:r>
                  <a:t/>
                </a:r>
                <a:endParaRPr sz="1300" b="1">
                  <a:solidFill>
                    <a:srgbClr val="183958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'Summary'!$B$12:$B$26</f>
            </numRef>
          </cat>
          <val>
            <numRef>
              <f>'Summary'!$E$12:$E$26</f>
            </numRef>
          </val>
        </ser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0DEEC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183958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183958"/>
              </a:solidFill>
              <a:latin typeface="Segoe UI"/>
            </a:endParaRPr>
          </a:p>
        </txPr>
        <crossAx val="100"/>
        <lblOffset val="2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677C91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677C91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15836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32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20554950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266509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273653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23479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225361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Smart Communications 2026">
      <a:dk1>
        <a:srgbClr val="0E2030"/>
      </a:dk1>
      <a:lt1>
        <a:srgbClr val="FFFFFF"/>
      </a:lt1>
      <a:dk2>
        <a:srgbClr val="03102C"/>
      </a:dk2>
      <a:lt2>
        <a:srgbClr val="EFF4F9"/>
      </a:lt2>
      <a:accent1>
        <a:srgbClr val="0094FF"/>
      </a:accent1>
      <a:accent2>
        <a:srgbClr val="661DEE"/>
      </a:accent2>
      <a:accent3>
        <a:srgbClr val="57B8FF"/>
      </a:accent3>
      <a:accent4>
        <a:srgbClr val="1344C1"/>
      </a:accent4>
      <a:accent5>
        <a:srgbClr val="BE9DFA"/>
      </a:accent5>
      <a:accent6>
        <a:srgbClr val="0062A8"/>
      </a:accent6>
      <a:hlink>
        <a:srgbClr val="326EEF"/>
      </a:hlink>
      <a:folHlink>
        <a:srgbClr val="9963FD"/>
      </a:folHlink>
    </a:clrScheme>
    <a:fontScheme name="Office">
      <a:maj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tabColor rgb="000E2030"/>
    <outlinePr summaryBelow="1" summaryRight="1"/>
    <pageSetUpPr fitToPage="1"/>
  </sheetPr>
  <dimension ref="A1:S28"/>
  <sheetViews>
    <sheetView showGridLines="0" zoomScale="100" workbookViewId="0">
      <selection activeCell="A1" sqref="A1"/>
    </sheetView>
  </sheetViews>
  <sheetFormatPr baseColWidth="8" defaultRowHeight="18"/>
  <cols>
    <col width="2.5" customWidth="1" min="1" max="1"/>
    <col width="2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Program scoping workbook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3" t="inlineStr">
        <is>
          <t>What it's for</t>
        </is>
      </c>
    </row>
    <row r="5">
      <c r="B5" s="4" t="inlineStr">
        <is>
          <t>Size every asset, system and deliverable a program touches, so the timeline, resourcing, cost and risk rest</t>
        </is>
      </c>
    </row>
    <row r="6">
      <c r="B6" s="4" t="inlineStr">
        <is>
          <t>on evidence rather than guesses. The example program here is a website and customer portal migration.</t>
        </is>
      </c>
    </row>
    <row r="7">
      <c r="B7" s="4" t="inlineStr"/>
    </row>
    <row r="8">
      <c r="B8" s="3" t="inlineStr">
        <is>
          <t>How to complete it</t>
        </is>
      </c>
    </row>
    <row r="9">
      <c r="B9" s="4" t="inlineStr">
        <is>
          <t>1. Each function has its own tab with a few example rows and blank rows. Replace the examples and add</t>
        </is>
      </c>
    </row>
    <row r="10">
      <c r="B10" s="4" t="inlineStr">
        <is>
          <t xml:space="preserve">    what's missing. Mark rows Not applicable rather than deleting them.</t>
        </is>
      </c>
    </row>
    <row r="11">
      <c r="B11" s="4" t="inlineStr">
        <is>
          <t>2. Split a row when its owner, effort, timing or risk differ from the rest.</t>
        </is>
      </c>
    </row>
    <row r="12">
      <c r="B12" s="4" t="inlineStr">
        <is>
          <t>3. Effort: enter active quantity, % needing change, setup hours, average hours per item and QA hours.</t>
        </is>
      </c>
    </row>
    <row r="13">
      <c r="B13" s="4" t="inlineStr">
        <is>
          <t xml:space="preserve">    The tab works out items to update, internal hours and FTE days.</t>
        </is>
      </c>
    </row>
    <row r="14">
      <c r="B14" s="4" t="inlineStr">
        <is>
          <t>4. Cost: add a blended hourly rate and any external or vendor cost. Total cost combines both.</t>
        </is>
      </c>
    </row>
    <row r="15">
      <c r="B15" s="4" t="inlineStr">
        <is>
          <t>5. Risk and timing: flag customer action, approvals, lead time, risk and whether old and new can run together.</t>
        </is>
      </c>
    </row>
    <row r="16">
      <c r="B16" s="4" t="inlineStr">
        <is>
          <t>6. Log the decisions everyone is planning around on Decisions, and the critical-path items on Dependencies.</t>
        </is>
      </c>
    </row>
    <row r="17">
      <c r="B17" s="4" t="inlineStr"/>
    </row>
    <row r="18">
      <c r="B18" s="3" t="inlineStr">
        <is>
          <t>Reading it</t>
        </is>
      </c>
    </row>
    <row r="19">
      <c r="B19" s="4" t="inlineStr">
        <is>
          <t>The Summary rolls every function up, with headline numbers and a chart of internal hours.</t>
        </is>
      </c>
    </row>
    <row r="20">
      <c r="B20" s="4" t="inlineStr">
        <is>
          <t>Rows shade when they need attention: critical risk, customer action, or work due by cutover.</t>
        </is>
      </c>
    </row>
    <row r="21">
      <c r="B21" s="4" t="inlineStr">
        <is>
          <t>To add a function, copy a function tab, rename it and add a row to the Summary that points to it.</t>
        </is>
      </c>
    </row>
    <row r="22">
      <c r="B22" s="4" t="inlineStr"/>
    </row>
    <row r="23">
      <c r="B23" s="3" t="inlineStr">
        <is>
          <t>Cell styles</t>
        </is>
      </c>
    </row>
    <row r="24">
      <c r="B24" s="4" t="inlineStr">
        <is>
          <t>Blue text on white = edit me · navy text on light blue = formula, leave it</t>
        </is>
      </c>
    </row>
    <row r="25">
      <c r="B25" s="4" t="inlineStr"/>
    </row>
    <row r="26">
      <c r="B26" s="4" t="inlineStr">
        <is>
          <t>All names and numbers in this template are examples. Estimate conservatively and note your assumptions.</t>
        </is>
      </c>
    </row>
    <row r="28">
      <c r="B28" s="5" t="inlineStr">
        <is>
          <t>Example input cell</t>
        </is>
      </c>
      <c r="C28" s="6" t="inlineStr">
        <is>
          <t>Example calculated cell</t>
        </is>
      </c>
    </row>
  </sheetData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31"/>
  <sheetViews>
    <sheetView showGridLines="0" zoomScale="100" workbookViewId="0">
      <selection activeCell="A1" sqref="A1"/>
    </sheetView>
  </sheetViews>
  <sheetFormatPr baseColWidth="8" defaultRowHeight="18"/>
  <cols>
    <col width="2.5" customWidth="1" min="1" max="1"/>
    <col width="24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Program scope summary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Scope, effort, cost and risk by function. It fills in from the function tabs.</t>
        </is>
      </c>
    </row>
    <row r="6" ht="22" customHeight="1">
      <c r="B6" s="7" t="inlineStr">
        <is>
          <t>Internal hours</t>
        </is>
      </c>
      <c r="D6" s="7" t="inlineStr">
        <is>
          <t>FTE days</t>
        </is>
      </c>
      <c r="F6" s="7" t="inlineStr">
        <is>
          <t>Total estimated cost</t>
        </is>
      </c>
      <c r="H6" s="7" t="inlineStr">
        <is>
          <t>Customer action items</t>
        </is>
      </c>
    </row>
    <row r="7" ht="36" customHeight="1">
      <c r="B7" s="8">
        <f>E27</f>
        <v/>
      </c>
      <c r="D7" s="8">
        <f>F27</f>
        <v/>
      </c>
      <c r="F7" s="9">
        <f>H27</f>
        <v/>
      </c>
      <c r="H7" s="8">
        <f>J27</f>
        <v/>
      </c>
    </row>
    <row r="10">
      <c r="B10" s="3" t="inlineStr">
        <is>
          <t>By function</t>
        </is>
      </c>
    </row>
    <row r="11" ht="46" customHeight="1">
      <c r="B11" s="10" t="inlineStr">
        <is>
          <t>Function</t>
        </is>
      </c>
      <c r="C11" s="10" t="inlineStr">
        <is>
          <t>Scoped lines</t>
        </is>
      </c>
      <c r="D11" s="10" t="inlineStr">
        <is>
          <t>Items to update</t>
        </is>
      </c>
      <c r="E11" s="10" t="inlineStr">
        <is>
          <t>Internal hours</t>
        </is>
      </c>
      <c r="F11" s="10" t="inlineStr">
        <is>
          <t>FTE days</t>
        </is>
      </c>
      <c r="G11" s="10" t="inlineStr">
        <is>
          <t>External cost</t>
        </is>
      </c>
      <c r="H11" s="10" t="inlineStr">
        <is>
          <t>Total estimated cost</t>
        </is>
      </c>
      <c r="I11" s="10" t="inlineStr">
        <is>
          <t>High or critical risk</t>
        </is>
      </c>
      <c r="J11" s="10" t="inlineStr">
        <is>
          <t>Customer action</t>
        </is>
      </c>
    </row>
    <row r="12">
      <c r="B12" s="11" t="inlineStr">
        <is>
          <t>Marketing</t>
        </is>
      </c>
      <c r="C12" s="12">
        <f>COUNTA(Marketing!C10:C69)</f>
        <v/>
      </c>
      <c r="D12" s="12">
        <f>SUM(Marketing!J10:J69)</f>
        <v/>
      </c>
      <c r="E12" s="12">
        <f>SUM(Marketing!P10:P69)</f>
        <v/>
      </c>
      <c r="F12" s="13">
        <f>SUM(Marketing!Q10:Q69)</f>
        <v/>
      </c>
      <c r="G12" s="14">
        <f>SUM(Marketing!T10:T69)</f>
        <v/>
      </c>
      <c r="H12" s="14">
        <f>SUM(Marketing!U10:U69)</f>
        <v/>
      </c>
      <c r="I12" s="12">
        <f>COUNTIF(Marketing!AB10:AB69,"High")+COUNTIF(Marketing!AB10:AB69,"Critical")</f>
        <v/>
      </c>
      <c r="J12" s="12">
        <f>COUNTIF(Marketing!W10:W69,"Yes")</f>
        <v/>
      </c>
    </row>
    <row r="13">
      <c r="B13" s="11" t="inlineStr">
        <is>
          <t>Product</t>
        </is>
      </c>
      <c r="C13" s="12">
        <f>COUNTA(Product!C10:C69)</f>
        <v/>
      </c>
      <c r="D13" s="12">
        <f>SUM(Product!J10:J69)</f>
        <v/>
      </c>
      <c r="E13" s="12">
        <f>SUM(Product!P10:P69)</f>
        <v/>
      </c>
      <c r="F13" s="13">
        <f>SUM(Product!Q10:Q69)</f>
        <v/>
      </c>
      <c r="G13" s="14">
        <f>SUM(Product!T10:T69)</f>
        <v/>
      </c>
      <c r="H13" s="14">
        <f>SUM(Product!U10:U69)</f>
        <v/>
      </c>
      <c r="I13" s="12">
        <f>COUNTIF(Product!AB10:AB69,"High")+COUNTIF(Product!AB10:AB69,"Critical")</f>
        <v/>
      </c>
      <c r="J13" s="12">
        <f>COUNTIF(Product!W10:W69,"Yes")</f>
        <v/>
      </c>
    </row>
    <row r="14">
      <c r="B14" s="11" t="inlineStr">
        <is>
          <t>Engineering</t>
        </is>
      </c>
      <c r="C14" s="12">
        <f>COUNTA(Engineering!C10:C69)</f>
        <v/>
      </c>
      <c r="D14" s="12">
        <f>SUM(Engineering!J10:J69)</f>
        <v/>
      </c>
      <c r="E14" s="12">
        <f>SUM(Engineering!P10:P69)</f>
        <v/>
      </c>
      <c r="F14" s="13">
        <f>SUM(Engineering!Q10:Q69)</f>
        <v/>
      </c>
      <c r="G14" s="14">
        <f>SUM(Engineering!T10:T69)</f>
        <v/>
      </c>
      <c r="H14" s="14">
        <f>SUM(Engineering!U10:U69)</f>
        <v/>
      </c>
      <c r="I14" s="12">
        <f>COUNTIF(Engineering!AB10:AB69,"High")+COUNTIF(Engineering!AB10:AB69,"Critical")</f>
        <v/>
      </c>
      <c r="J14" s="12">
        <f>COUNTIF(Engineering!W10:W69,"Yes")</f>
        <v/>
      </c>
    </row>
    <row r="15">
      <c r="B15" s="11" t="inlineStr">
        <is>
          <t>IT &amp; Security</t>
        </is>
      </c>
      <c r="C15" s="12">
        <f>COUNTA('IT &amp; Security'!C10:C69)</f>
        <v/>
      </c>
      <c r="D15" s="12">
        <f>SUM('IT &amp; Security'!J10:J69)</f>
        <v/>
      </c>
      <c r="E15" s="12">
        <f>SUM('IT &amp; Security'!P10:P69)</f>
        <v/>
      </c>
      <c r="F15" s="13">
        <f>SUM('IT &amp; Security'!Q10:Q69)</f>
        <v/>
      </c>
      <c r="G15" s="14">
        <f>SUM('IT &amp; Security'!T10:T69)</f>
        <v/>
      </c>
      <c r="H15" s="14">
        <f>SUM('IT &amp; Security'!U10:U69)</f>
        <v/>
      </c>
      <c r="I15" s="12">
        <f>COUNTIF('IT &amp; Security'!AB10:AB69,"High")+COUNTIF('IT &amp; Security'!AB10:AB69,"Critical")</f>
        <v/>
      </c>
      <c r="J15" s="12">
        <f>COUNTIF('IT &amp; Security'!W10:W69,"Yes")</f>
        <v/>
      </c>
    </row>
    <row r="16">
      <c r="B16" s="11" t="inlineStr">
        <is>
          <t>Legal &amp; Privacy</t>
        </is>
      </c>
      <c r="C16" s="12">
        <f>COUNTA('Legal &amp; Privacy'!C10:C69)</f>
        <v/>
      </c>
      <c r="D16" s="12">
        <f>SUM('Legal &amp; Privacy'!J10:J69)</f>
        <v/>
      </c>
      <c r="E16" s="12">
        <f>SUM('Legal &amp; Privacy'!P10:P69)</f>
        <v/>
      </c>
      <c r="F16" s="13">
        <f>SUM('Legal &amp; Privacy'!Q10:Q69)</f>
        <v/>
      </c>
      <c r="G16" s="14">
        <f>SUM('Legal &amp; Privacy'!T10:T69)</f>
        <v/>
      </c>
      <c r="H16" s="14">
        <f>SUM('Legal &amp; Privacy'!U10:U69)</f>
        <v/>
      </c>
      <c r="I16" s="12">
        <f>COUNTIF('Legal &amp; Privacy'!AB10:AB69,"High")+COUNTIF('Legal &amp; Privacy'!AB10:AB69,"Critical")</f>
        <v/>
      </c>
      <c r="J16" s="12">
        <f>COUNTIF('Legal &amp; Privacy'!W10:W69,"Yes")</f>
        <v/>
      </c>
    </row>
    <row r="17">
      <c r="B17" s="11" t="inlineStr">
        <is>
          <t>Sales Enablement</t>
        </is>
      </c>
      <c r="C17" s="12">
        <f>COUNTA('Sales Enablement'!C10:C69)</f>
        <v/>
      </c>
      <c r="D17" s="12">
        <f>SUM('Sales Enablement'!J10:J69)</f>
        <v/>
      </c>
      <c r="E17" s="12">
        <f>SUM('Sales Enablement'!P10:P69)</f>
        <v/>
      </c>
      <c r="F17" s="13">
        <f>SUM('Sales Enablement'!Q10:Q69)</f>
        <v/>
      </c>
      <c r="G17" s="14">
        <f>SUM('Sales Enablement'!T10:T69)</f>
        <v/>
      </c>
      <c r="H17" s="14">
        <f>SUM('Sales Enablement'!U10:U69)</f>
        <v/>
      </c>
      <c r="I17" s="12">
        <f>COUNTIF('Sales Enablement'!AB10:AB69,"High")+COUNTIF('Sales Enablement'!AB10:AB69,"Critical")</f>
        <v/>
      </c>
      <c r="J17" s="12">
        <f>COUNTIF('Sales Enablement'!W10:W69,"Yes")</f>
        <v/>
      </c>
    </row>
    <row r="18">
      <c r="B18" s="11" t="inlineStr">
        <is>
          <t>Sales &amp; RevOps</t>
        </is>
      </c>
      <c r="C18" s="12">
        <f>COUNTA('Sales &amp; RevOps'!C10:C69)</f>
        <v/>
      </c>
      <c r="D18" s="12">
        <f>SUM('Sales &amp; RevOps'!J10:J69)</f>
        <v/>
      </c>
      <c r="E18" s="12">
        <f>SUM('Sales &amp; RevOps'!P10:P69)</f>
        <v/>
      </c>
      <c r="F18" s="13">
        <f>SUM('Sales &amp; RevOps'!Q10:Q69)</f>
        <v/>
      </c>
      <c r="G18" s="14">
        <f>SUM('Sales &amp; RevOps'!T10:T69)</f>
        <v/>
      </c>
      <c r="H18" s="14">
        <f>SUM('Sales &amp; RevOps'!U10:U69)</f>
        <v/>
      </c>
      <c r="I18" s="12">
        <f>COUNTIF('Sales &amp; RevOps'!AB10:AB69,"High")+COUNTIF('Sales &amp; RevOps'!AB10:AB69,"Critical")</f>
        <v/>
      </c>
      <c r="J18" s="12">
        <f>COUNTIF('Sales &amp; RevOps'!W10:W69,"Yes")</f>
        <v/>
      </c>
    </row>
    <row r="19">
      <c r="B19" s="11" t="inlineStr">
        <is>
          <t>Customer Success</t>
        </is>
      </c>
      <c r="C19" s="12">
        <f>COUNTA('Customer Success'!C10:C69)</f>
        <v/>
      </c>
      <c r="D19" s="12">
        <f>SUM('Customer Success'!J10:J69)</f>
        <v/>
      </c>
      <c r="E19" s="12">
        <f>SUM('Customer Success'!P10:P69)</f>
        <v/>
      </c>
      <c r="F19" s="13">
        <f>SUM('Customer Success'!Q10:Q69)</f>
        <v/>
      </c>
      <c r="G19" s="14">
        <f>SUM('Customer Success'!T10:T69)</f>
        <v/>
      </c>
      <c r="H19" s="14">
        <f>SUM('Customer Success'!U10:U69)</f>
        <v/>
      </c>
      <c r="I19" s="12">
        <f>COUNTIF('Customer Success'!AB10:AB69,"High")+COUNTIF('Customer Success'!AB10:AB69,"Critical")</f>
        <v/>
      </c>
      <c r="J19" s="12">
        <f>COUNTIF('Customer Success'!W10:W69,"Yes")</f>
        <v/>
      </c>
    </row>
    <row r="20">
      <c r="B20" s="11" t="inlineStr">
        <is>
          <t>Professional Services</t>
        </is>
      </c>
      <c r="C20" s="12">
        <f>COUNTA('Professional Services'!C10:C69)</f>
        <v/>
      </c>
      <c r="D20" s="12">
        <f>SUM('Professional Services'!J10:J69)</f>
        <v/>
      </c>
      <c r="E20" s="12">
        <f>SUM('Professional Services'!P10:P69)</f>
        <v/>
      </c>
      <c r="F20" s="13">
        <f>SUM('Professional Services'!Q10:Q69)</f>
        <v/>
      </c>
      <c r="G20" s="14">
        <f>SUM('Professional Services'!T10:T69)</f>
        <v/>
      </c>
      <c r="H20" s="14">
        <f>SUM('Professional Services'!U10:U69)</f>
        <v/>
      </c>
      <c r="I20" s="12">
        <f>COUNTIF('Professional Services'!AB10:AB69,"High")+COUNTIF('Professional Services'!AB10:AB69,"Critical")</f>
        <v/>
      </c>
      <c r="J20" s="12">
        <f>COUNTIF('Professional Services'!W10:W69,"Yes")</f>
        <v/>
      </c>
    </row>
    <row r="21">
      <c r="B21" s="11" t="inlineStr">
        <is>
          <t>Customer Support</t>
        </is>
      </c>
      <c r="C21" s="12">
        <f>COUNTA('Customer Support'!C10:C69)</f>
        <v/>
      </c>
      <c r="D21" s="12">
        <f>SUM('Customer Support'!J10:J69)</f>
        <v/>
      </c>
      <c r="E21" s="12">
        <f>SUM('Customer Support'!P10:P69)</f>
        <v/>
      </c>
      <c r="F21" s="13">
        <f>SUM('Customer Support'!Q10:Q69)</f>
        <v/>
      </c>
      <c r="G21" s="14">
        <f>SUM('Customer Support'!T10:T69)</f>
        <v/>
      </c>
      <c r="H21" s="14">
        <f>SUM('Customer Support'!U10:U69)</f>
        <v/>
      </c>
      <c r="I21" s="12">
        <f>COUNTIF('Customer Support'!AB10:AB69,"High")+COUNTIF('Customer Support'!AB10:AB69,"Critical")</f>
        <v/>
      </c>
      <c r="J21" s="12">
        <f>COUNTIF('Customer Support'!W10:W69,"Yes")</f>
        <v/>
      </c>
    </row>
    <row r="22">
      <c r="B22" s="11" t="inlineStr">
        <is>
          <t>Pre-Sales</t>
        </is>
      </c>
      <c r="C22" s="12">
        <f>COUNTA('Pre-Sales'!C10:C69)</f>
        <v/>
      </c>
      <c r="D22" s="12">
        <f>SUM('Pre-Sales'!J10:J69)</f>
        <v/>
      </c>
      <c r="E22" s="12">
        <f>SUM('Pre-Sales'!P10:P69)</f>
        <v/>
      </c>
      <c r="F22" s="13">
        <f>SUM('Pre-Sales'!Q10:Q69)</f>
        <v/>
      </c>
      <c r="G22" s="14">
        <f>SUM('Pre-Sales'!T10:T69)</f>
        <v/>
      </c>
      <c r="H22" s="14">
        <f>SUM('Pre-Sales'!U10:U69)</f>
        <v/>
      </c>
      <c r="I22" s="12">
        <f>COUNTIF('Pre-Sales'!AB10:AB69,"High")+COUNTIF('Pre-Sales'!AB10:AB69,"Critical")</f>
        <v/>
      </c>
      <c r="J22" s="12">
        <f>COUNTIF('Pre-Sales'!W10:W69,"Yes")</f>
        <v/>
      </c>
    </row>
    <row r="23">
      <c r="B23" s="11" t="inlineStr">
        <is>
          <t>Partners</t>
        </is>
      </c>
      <c r="C23" s="12">
        <f>COUNTA(Partners!C10:C69)</f>
        <v/>
      </c>
      <c r="D23" s="12">
        <f>SUM(Partners!J10:J69)</f>
        <v/>
      </c>
      <c r="E23" s="12">
        <f>SUM(Partners!P10:P69)</f>
        <v/>
      </c>
      <c r="F23" s="13">
        <f>SUM(Partners!Q10:Q69)</f>
        <v/>
      </c>
      <c r="G23" s="14">
        <f>SUM(Partners!T10:T69)</f>
        <v/>
      </c>
      <c r="H23" s="14">
        <f>SUM(Partners!U10:U69)</f>
        <v/>
      </c>
      <c r="I23" s="12">
        <f>COUNTIF(Partners!AB10:AB69,"High")+COUNTIF(Partners!AB10:AB69,"Critical")</f>
        <v/>
      </c>
      <c r="J23" s="12">
        <f>COUNTIF(Partners!W10:W69,"Yes")</f>
        <v/>
      </c>
    </row>
    <row r="24">
      <c r="B24" s="11" t="inlineStr">
        <is>
          <t>HR</t>
        </is>
      </c>
      <c r="C24" s="12">
        <f>COUNTA(HR!C10:C69)</f>
        <v/>
      </c>
      <c r="D24" s="12">
        <f>SUM(HR!J10:J69)</f>
        <v/>
      </c>
      <c r="E24" s="12">
        <f>SUM(HR!P10:P69)</f>
        <v/>
      </c>
      <c r="F24" s="13">
        <f>SUM(HR!Q10:Q69)</f>
        <v/>
      </c>
      <c r="G24" s="14">
        <f>SUM(HR!T10:T69)</f>
        <v/>
      </c>
      <c r="H24" s="14">
        <f>SUM(HR!U10:U69)</f>
        <v/>
      </c>
      <c r="I24" s="12">
        <f>COUNTIF(HR!AB10:AB69,"High")+COUNTIF(HR!AB10:AB69,"Critical")</f>
        <v/>
      </c>
      <c r="J24" s="12">
        <f>COUNTIF(HR!W10:W69,"Yes")</f>
        <v/>
      </c>
    </row>
    <row r="25">
      <c r="B25" s="11" t="inlineStr">
        <is>
          <t>Finance &amp; Procurement</t>
        </is>
      </c>
      <c r="C25" s="12">
        <f>COUNTA('Finance &amp; Procurement'!C10:C69)</f>
        <v/>
      </c>
      <c r="D25" s="12">
        <f>SUM('Finance &amp; Procurement'!J10:J69)</f>
        <v/>
      </c>
      <c r="E25" s="12">
        <f>SUM('Finance &amp; Procurement'!P10:P69)</f>
        <v/>
      </c>
      <c r="F25" s="13">
        <f>SUM('Finance &amp; Procurement'!Q10:Q69)</f>
        <v/>
      </c>
      <c r="G25" s="14">
        <f>SUM('Finance &amp; Procurement'!T10:T69)</f>
        <v/>
      </c>
      <c r="H25" s="14">
        <f>SUM('Finance &amp; Procurement'!U10:U69)</f>
        <v/>
      </c>
      <c r="I25" s="12">
        <f>COUNTIF('Finance &amp; Procurement'!AB10:AB69,"High")+COUNTIF('Finance &amp; Procurement'!AB10:AB69,"Critical")</f>
        <v/>
      </c>
      <c r="J25" s="12">
        <f>COUNTIF('Finance &amp; Procurement'!W10:W69,"Yes")</f>
        <v/>
      </c>
    </row>
    <row r="26">
      <c r="B26" s="11" t="inlineStr">
        <is>
          <t>Executive &amp; Strategy</t>
        </is>
      </c>
      <c r="C26" s="12">
        <f>COUNTA('Executive &amp; Strategy'!C10:C69)</f>
        <v/>
      </c>
      <c r="D26" s="12">
        <f>SUM('Executive &amp; Strategy'!J10:J69)</f>
        <v/>
      </c>
      <c r="E26" s="12">
        <f>SUM('Executive &amp; Strategy'!P10:P69)</f>
        <v/>
      </c>
      <c r="F26" s="13">
        <f>SUM('Executive &amp; Strategy'!Q10:Q69)</f>
        <v/>
      </c>
      <c r="G26" s="14">
        <f>SUM('Executive &amp; Strategy'!T10:T69)</f>
        <v/>
      </c>
      <c r="H26" s="14">
        <f>SUM('Executive &amp; Strategy'!U10:U69)</f>
        <v/>
      </c>
      <c r="I26" s="12">
        <f>COUNTIF('Executive &amp; Strategy'!AB10:AB69,"High")+COUNTIF('Executive &amp; Strategy'!AB10:AB69,"Critical")</f>
        <v/>
      </c>
      <c r="J26" s="12">
        <f>COUNTIF('Executive &amp; Strategy'!W10:W69,"Yes")</f>
        <v/>
      </c>
    </row>
    <row r="27">
      <c r="B27" s="15" t="inlineStr">
        <is>
          <t>Total</t>
        </is>
      </c>
      <c r="C27" s="16">
        <f>SUM(C12:C26)</f>
        <v/>
      </c>
      <c r="D27" s="16">
        <f>SUM(D12:D26)</f>
        <v/>
      </c>
      <c r="E27" s="16">
        <f>SUM(E12:E26)</f>
        <v/>
      </c>
      <c r="F27" s="17">
        <f>SUM(F12:F26)</f>
        <v/>
      </c>
      <c r="G27" s="18">
        <f>SUM(G12:G26)</f>
        <v/>
      </c>
      <c r="H27" s="18">
        <f>SUM(H12:H26)</f>
        <v/>
      </c>
      <c r="I27" s="16">
        <f>SUM(I12:I26)</f>
        <v/>
      </c>
      <c r="J27" s="16">
        <f>SUM(J12:J26)</f>
        <v/>
      </c>
    </row>
    <row r="30">
      <c r="B30" s="19" t="inlineStr">
        <is>
          <t>Chart title</t>
        </is>
      </c>
    </row>
    <row r="31">
      <c r="B31" s="20" t="inlineStr">
        <is>
          <t>Internal hours by function</t>
        </is>
      </c>
      <c r="C31" s="21" t="n"/>
      <c r="D31" s="21" t="n"/>
      <c r="E31" s="21" t="n"/>
      <c r="F31" s="21" t="n"/>
    </row>
  </sheetData>
  <mergeCells count="9">
    <mergeCell ref="D6:E6"/>
    <mergeCell ref="B6:C6"/>
    <mergeCell ref="D7:E7"/>
    <mergeCell ref="B7:C7"/>
    <mergeCell ref="H6:I6"/>
    <mergeCell ref="H7:I7"/>
    <mergeCell ref="F6:G6"/>
    <mergeCell ref="B31:F31"/>
    <mergeCell ref="F7:G7"/>
  </mergeCell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26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30" customWidth="1" min="2" max="2"/>
    <col width="40" customWidth="1" min="3" max="3"/>
    <col width="30" customWidth="1" min="4" max="4"/>
    <col width="13" customWidth="1" min="5" max="5"/>
    <col width="18" customWidth="1" min="6" max="6"/>
    <col width="13" customWidth="1" min="7" max="7"/>
    <col width="14" customWidth="1" min="8" max="8"/>
    <col width="3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Decisions and assumptions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Decisions that change scope, sequencing or risk. Keep them here so every function plans against the same assumptions.</t>
        </is>
      </c>
    </row>
    <row r="6" ht="34" customHeight="1">
      <c r="B6" s="10" t="inlineStr">
        <is>
          <t>Decision or assumption</t>
        </is>
      </c>
      <c r="C6" s="10" t="inlineStr">
        <is>
          <t>Why it changes scope</t>
        </is>
      </c>
      <c r="D6" s="10" t="inlineStr">
        <is>
          <t>Current assumption or options</t>
        </is>
      </c>
      <c r="E6" s="10" t="inlineStr">
        <is>
          <t>Status</t>
        </is>
      </c>
      <c r="F6" s="10" t="inlineStr">
        <is>
          <t>Decision owner</t>
        </is>
      </c>
      <c r="G6" s="10" t="inlineStr">
        <is>
          <t>Target date</t>
        </is>
      </c>
      <c r="H6" s="10" t="inlineStr">
        <is>
          <t>Impact if delayed</t>
        </is>
      </c>
      <c r="I6" s="10" t="inlineStr">
        <is>
          <t>Notes</t>
        </is>
      </c>
    </row>
    <row r="7">
      <c r="B7" s="22" t="inlineStr">
        <is>
          <t>Platform and hosting choice</t>
        </is>
      </c>
      <c r="C7" s="22" t="inlineStr">
        <is>
          <t>Sets the build effort, integrations and vendor contracts.</t>
        </is>
      </c>
      <c r="D7" s="22" t="inlineStr">
        <is>
          <t>Shortlist of two platforms</t>
        </is>
      </c>
      <c r="E7" s="23" t="inlineStr">
        <is>
          <t>In review</t>
        </is>
      </c>
      <c r="F7" s="23" t="n"/>
      <c r="G7" s="24" t="n"/>
      <c r="H7" s="23" t="inlineStr">
        <is>
          <t>High</t>
        </is>
      </c>
      <c r="I7" s="22" t="n"/>
    </row>
    <row r="8">
      <c r="B8" s="22" t="inlineStr">
        <is>
          <t>Cutover approach</t>
        </is>
      </c>
      <c r="C8" s="22" t="inlineStr">
        <is>
          <t>Big-bang or phased changes the peak workload and the risk.</t>
        </is>
      </c>
      <c r="D8" s="22" t="inlineStr">
        <is>
          <t>Phased by region</t>
        </is>
      </c>
      <c r="E8" s="23" t="inlineStr">
        <is>
          <t>Open</t>
        </is>
      </c>
      <c r="F8" s="23" t="n"/>
      <c r="G8" s="24" t="n"/>
      <c r="H8" s="23" t="inlineStr">
        <is>
          <t>High</t>
        </is>
      </c>
      <c r="I8" s="22" t="n"/>
    </row>
    <row r="9">
      <c r="B9" s="22" t="inlineStr">
        <is>
          <t>URL structure</t>
        </is>
      </c>
      <c r="C9" s="22" t="inlineStr">
        <is>
          <t>Drives redirects, search ranking and every link in other systems.</t>
        </is>
      </c>
      <c r="D9" s="22" t="inlineStr">
        <is>
          <t>Keep current paths where possible</t>
        </is>
      </c>
      <c r="E9" s="23" t="inlineStr">
        <is>
          <t>Open</t>
        </is>
      </c>
      <c r="F9" s="23" t="n"/>
      <c r="G9" s="24" t="n"/>
      <c r="H9" s="23" t="inlineStr">
        <is>
          <t>Critical</t>
        </is>
      </c>
      <c r="I9" s="22" t="n"/>
    </row>
    <row r="10">
      <c r="B10" s="22" t="inlineStr">
        <is>
          <t>Content freeze window</t>
        </is>
      </c>
      <c r="C10" s="22" t="inlineStr">
        <is>
          <t>Sets how long authors stop publishing before cutover.</t>
        </is>
      </c>
      <c r="D10" s="22" t="inlineStr">
        <is>
          <t>Two weeks</t>
        </is>
      </c>
      <c r="E10" s="23" t="inlineStr">
        <is>
          <t>Open</t>
        </is>
      </c>
      <c r="F10" s="23" t="n"/>
      <c r="G10" s="24" t="n"/>
      <c r="H10" s="23" t="inlineStr">
        <is>
          <t>Medium</t>
        </is>
      </c>
      <c r="I10" s="22" t="n"/>
    </row>
    <row r="11">
      <c r="B11" s="22" t="inlineStr">
        <is>
          <t>Legacy content treatment</t>
        </is>
      </c>
      <c r="C11" s="22" t="inlineStr">
        <is>
          <t>Decides what is moved, archived or retired.</t>
        </is>
      </c>
      <c r="D11" s="22" t="inlineStr">
        <is>
          <t>Move the last three years</t>
        </is>
      </c>
      <c r="E11" s="23" t="inlineStr">
        <is>
          <t>Open</t>
        </is>
      </c>
      <c r="F11" s="23" t="n"/>
      <c r="G11" s="24" t="n"/>
      <c r="H11" s="23" t="inlineStr">
        <is>
          <t>Medium</t>
        </is>
      </c>
      <c r="I11" s="22" t="n"/>
    </row>
    <row r="12">
      <c r="B12" s="22" t="inlineStr">
        <is>
          <t>Customer notification threshold</t>
        </is>
      </c>
      <c r="C12" s="22" t="inlineStr">
        <is>
          <t>Which changes need advance notice, and how much.</t>
        </is>
      </c>
      <c r="D12" s="22" t="inlineStr">
        <is>
          <t>30 days for anything customers configure</t>
        </is>
      </c>
      <c r="E12" s="23" t="inlineStr">
        <is>
          <t>Open</t>
        </is>
      </c>
      <c r="F12" s="23" t="n"/>
      <c r="G12" s="24" t="n"/>
      <c r="H12" s="23" t="inlineStr">
        <is>
          <t>High</t>
        </is>
      </c>
      <c r="I12" s="22" t="n"/>
    </row>
    <row r="13">
      <c r="B13" s="22" t="n"/>
      <c r="C13" s="22" t="n"/>
      <c r="D13" s="22" t="n"/>
      <c r="E13" s="23" t="n"/>
      <c r="F13" s="23" t="n"/>
      <c r="G13" s="24" t="n"/>
      <c r="H13" s="23" t="n"/>
      <c r="I13" s="22" t="n"/>
    </row>
    <row r="14">
      <c r="B14" s="22" t="n"/>
      <c r="C14" s="22" t="n"/>
      <c r="D14" s="22" t="n"/>
      <c r="E14" s="23" t="n"/>
      <c r="F14" s="23" t="n"/>
      <c r="G14" s="24" t="n"/>
      <c r="H14" s="23" t="n"/>
      <c r="I14" s="22" t="n"/>
    </row>
    <row r="15">
      <c r="B15" s="22" t="n"/>
      <c r="C15" s="22" t="n"/>
      <c r="D15" s="22" t="n"/>
      <c r="E15" s="23" t="n"/>
      <c r="F15" s="23" t="n"/>
      <c r="G15" s="24" t="n"/>
      <c r="H15" s="23" t="n"/>
      <c r="I15" s="22" t="n"/>
    </row>
    <row r="16">
      <c r="B16" s="22" t="n"/>
      <c r="C16" s="22" t="n"/>
      <c r="D16" s="22" t="n"/>
      <c r="E16" s="23" t="n"/>
      <c r="F16" s="23" t="n"/>
      <c r="G16" s="24" t="n"/>
      <c r="H16" s="23" t="n"/>
      <c r="I16" s="22" t="n"/>
    </row>
    <row r="17">
      <c r="B17" s="22" t="n"/>
      <c r="C17" s="22" t="n"/>
      <c r="D17" s="22" t="n"/>
      <c r="E17" s="23" t="n"/>
      <c r="F17" s="23" t="n"/>
      <c r="G17" s="24" t="n"/>
      <c r="H17" s="23" t="n"/>
      <c r="I17" s="22" t="n"/>
    </row>
    <row r="18">
      <c r="B18" s="22" t="n"/>
      <c r="C18" s="22" t="n"/>
      <c r="D18" s="22" t="n"/>
      <c r="E18" s="23" t="n"/>
      <c r="F18" s="23" t="n"/>
      <c r="G18" s="24" t="n"/>
      <c r="H18" s="23" t="n"/>
      <c r="I18" s="22" t="n"/>
    </row>
    <row r="19">
      <c r="B19" s="22" t="n"/>
      <c r="C19" s="22" t="n"/>
      <c r="D19" s="22" t="n"/>
      <c r="E19" s="23" t="n"/>
      <c r="F19" s="23" t="n"/>
      <c r="G19" s="24" t="n"/>
      <c r="H19" s="23" t="n"/>
      <c r="I19" s="22" t="n"/>
    </row>
    <row r="20">
      <c r="B20" s="22" t="n"/>
      <c r="C20" s="22" t="n"/>
      <c r="D20" s="22" t="n"/>
      <c r="E20" s="23" t="n"/>
      <c r="F20" s="23" t="n"/>
      <c r="G20" s="24" t="n"/>
      <c r="H20" s="23" t="n"/>
      <c r="I20" s="22" t="n"/>
    </row>
    <row r="21">
      <c r="B21" s="22" t="n"/>
      <c r="C21" s="22" t="n"/>
      <c r="D21" s="22" t="n"/>
      <c r="E21" s="23" t="n"/>
      <c r="F21" s="23" t="n"/>
      <c r="G21" s="24" t="n"/>
      <c r="H21" s="23" t="n"/>
      <c r="I21" s="22" t="n"/>
    </row>
    <row r="22">
      <c r="B22" s="22" t="n"/>
      <c r="C22" s="22" t="n"/>
      <c r="D22" s="22" t="n"/>
      <c r="E22" s="23" t="n"/>
      <c r="F22" s="23" t="n"/>
      <c r="G22" s="24" t="n"/>
      <c r="H22" s="23" t="n"/>
      <c r="I22" s="22" t="n"/>
    </row>
    <row r="23">
      <c r="B23" s="22" t="n"/>
      <c r="C23" s="22" t="n"/>
      <c r="D23" s="22" t="n"/>
      <c r="E23" s="23" t="n"/>
      <c r="F23" s="23" t="n"/>
      <c r="G23" s="24" t="n"/>
      <c r="H23" s="23" t="n"/>
      <c r="I23" s="22" t="n"/>
    </row>
    <row r="24">
      <c r="B24" s="22" t="n"/>
      <c r="C24" s="22" t="n"/>
      <c r="D24" s="22" t="n"/>
      <c r="E24" s="23" t="n"/>
      <c r="F24" s="23" t="n"/>
      <c r="G24" s="24" t="n"/>
      <c r="H24" s="23" t="n"/>
      <c r="I24" s="22" t="n"/>
    </row>
    <row r="25">
      <c r="B25" s="22" t="n"/>
      <c r="C25" s="22" t="n"/>
      <c r="D25" s="22" t="n"/>
      <c r="E25" s="23" t="n"/>
      <c r="F25" s="23" t="n"/>
      <c r="G25" s="24" t="n"/>
      <c r="H25" s="23" t="n"/>
      <c r="I25" s="22" t="n"/>
    </row>
    <row r="26">
      <c r="B26" s="22" t="n"/>
      <c r="C26" s="22" t="n"/>
      <c r="D26" s="22" t="n"/>
      <c r="E26" s="23" t="n"/>
      <c r="F26" s="23" t="n"/>
      <c r="G26" s="24" t="n"/>
      <c r="H26" s="23" t="n"/>
      <c r="I26" s="22" t="n"/>
    </row>
  </sheetData>
  <conditionalFormatting sqref="H7:H26">
    <cfRule type="expression" priority="1" dxfId="0">
      <formula>H7="Critical"</formula>
    </cfRule>
  </conditionalFormatting>
  <dataValidations count="2">
    <dataValidation sqref="E7:E26" showDropDown="0" showInputMessage="0" showErrorMessage="0" allowBlank="1" type="list">
      <formula1>=Lists!$H$7:$H$10</formula1>
    </dataValidation>
    <dataValidation sqref="H7:H26" showDropDown="0" showInputMessage="0" showErrorMessage="0" allowBlank="1" type="list">
      <formula1>=Lists!$C$7:$C$10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26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30" customWidth="1" min="2" max="2"/>
    <col width="22" customWidth="1" min="3" max="3"/>
    <col width="26" customWidth="1" min="4" max="4"/>
    <col width="34" customWidth="1" min="5" max="5"/>
    <col width="13" customWidth="1" min="6" max="6"/>
    <col width="13" customWidth="1" min="7" max="7"/>
    <col width="13" customWidth="1" min="8" max="8"/>
    <col width="13" customWidth="1" min="9" max="9"/>
    <col width="32" customWidth="1" min="10" max="10"/>
    <col width="16" customWidth="1" min="11" max="11"/>
    <col width="13" customWidth="1" min="12" max="12"/>
    <col width="13" customWidth="1" min="13" max="13"/>
    <col width="28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Critical dependencies and risks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Items most likely to set the critical path, or that need customers or third parties to act.</t>
        </is>
      </c>
    </row>
    <row r="6" ht="46" customHeight="1">
      <c r="B6" s="10" t="inlineStr">
        <is>
          <t>Dependency or risk</t>
        </is>
      </c>
      <c r="C6" s="10" t="inlineStr">
        <is>
          <t>Lead function</t>
        </is>
      </c>
      <c r="D6" s="10" t="inlineStr">
        <is>
          <t>Supporting functions</t>
        </is>
      </c>
      <c r="E6" s="10" t="inlineStr">
        <is>
          <t>Why it's critical</t>
        </is>
      </c>
      <c r="F6" s="10" t="inlineStr">
        <is>
          <t>Customer action?</t>
        </is>
      </c>
      <c r="G6" s="10" t="inlineStr">
        <is>
          <t>External approval?</t>
        </is>
      </c>
      <c r="H6" s="10" t="inlineStr">
        <is>
          <t>Minimum lead time (days)</t>
        </is>
      </c>
      <c r="I6" s="10" t="inlineStr">
        <is>
          <t>Old and new side by side?</t>
        </is>
      </c>
      <c r="J6" s="10" t="inlineStr">
        <is>
          <t>Decision or mitigation</t>
        </is>
      </c>
      <c r="K6" s="10" t="inlineStr">
        <is>
          <t>Owner</t>
        </is>
      </c>
      <c r="L6" s="10" t="inlineStr">
        <is>
          <t>Status</t>
        </is>
      </c>
      <c r="M6" s="10" t="inlineStr">
        <is>
          <t>Target date</t>
        </is>
      </c>
      <c r="N6" s="10" t="inlineStr">
        <is>
          <t>Notes</t>
        </is>
      </c>
    </row>
    <row r="7">
      <c r="B7" s="22" t="inlineStr">
        <is>
          <t>DNS and certificates for new hosts</t>
        </is>
      </c>
      <c r="C7" s="23" t="inlineStr">
        <is>
          <t>IT &amp; Security</t>
        </is>
      </c>
      <c r="D7" s="22" t="inlineStr">
        <is>
          <t>Engineering; Marketing</t>
        </is>
      </c>
      <c r="E7" s="22" t="inlineStr">
        <is>
          <t>Nothing goes live without them.</t>
        </is>
      </c>
      <c r="F7" s="23" t="inlineStr">
        <is>
          <t>No</t>
        </is>
      </c>
      <c r="G7" s="23" t="inlineStr">
        <is>
          <t>No</t>
        </is>
      </c>
      <c r="H7" s="25" t="n">
        <v>14</v>
      </c>
      <c r="I7" s="23" t="inlineStr">
        <is>
          <t>Yes</t>
        </is>
      </c>
      <c r="J7" s="22" t="inlineStr">
        <is>
          <t>Order certificates as soon as hosts are named.</t>
        </is>
      </c>
      <c r="K7" s="23" t="n"/>
      <c r="L7" s="23" t="inlineStr">
        <is>
          <t>Scoping</t>
        </is>
      </c>
      <c r="M7" s="24" t="n"/>
      <c r="N7" s="22" t="n"/>
    </row>
    <row r="8">
      <c r="B8" s="22" t="inlineStr">
        <is>
          <t>Customer allowlist updates</t>
        </is>
      </c>
      <c r="C8" s="23" t="inlineStr">
        <is>
          <t>IT &amp; Security</t>
        </is>
      </c>
      <c r="D8" s="22" t="inlineStr">
        <is>
          <t>Customer Success; Engineering</t>
        </is>
      </c>
      <c r="E8" s="22" t="inlineStr">
        <is>
          <t>Customers' firewalls may block the new hosts.</t>
        </is>
      </c>
      <c r="F8" s="23" t="inlineStr">
        <is>
          <t>Yes</t>
        </is>
      </c>
      <c r="G8" s="23" t="inlineStr">
        <is>
          <t>No</t>
        </is>
      </c>
      <c r="H8" s="25" t="n">
        <v>45</v>
      </c>
      <c r="I8" s="23" t="inlineStr">
        <is>
          <t>Yes</t>
        </is>
      </c>
      <c r="J8" s="22" t="inlineStr">
        <is>
          <t>Publish host list 45 days ahead.</t>
        </is>
      </c>
      <c r="K8" s="23" t="n"/>
      <c r="L8" s="23" t="inlineStr">
        <is>
          <t>Scoping</t>
        </is>
      </c>
      <c r="M8" s="24" t="n"/>
      <c r="N8" s="22" t="n"/>
    </row>
    <row r="9">
      <c r="B9" s="22" t="inlineStr">
        <is>
          <t>Single sign-on changes</t>
        </is>
      </c>
      <c r="C9" s="23" t="inlineStr">
        <is>
          <t>Engineering</t>
        </is>
      </c>
      <c r="D9" s="22" t="inlineStr">
        <is>
          <t>IT &amp; Security; Customer Success</t>
        </is>
      </c>
      <c r="E9" s="22" t="inlineStr">
        <is>
          <t>Customers on SSO lose access if this is missed.</t>
        </is>
      </c>
      <c r="F9" s="23" t="inlineStr">
        <is>
          <t>Yes</t>
        </is>
      </c>
      <c r="G9" s="23" t="inlineStr">
        <is>
          <t>No</t>
        </is>
      </c>
      <c r="H9" s="25" t="n">
        <v>30</v>
      </c>
      <c r="I9" s="23" t="inlineStr">
        <is>
          <t>Yes</t>
        </is>
      </c>
      <c r="J9" s="22" t="n"/>
      <c r="K9" s="23" t="n"/>
      <c r="L9" s="23" t="inlineStr">
        <is>
          <t>Scoping</t>
        </is>
      </c>
      <c r="M9" s="24" t="n"/>
      <c r="N9" s="22" t="n"/>
    </row>
    <row r="10">
      <c r="B10" s="22" t="inlineStr">
        <is>
          <t>Privacy notice update</t>
        </is>
      </c>
      <c r="C10" s="23" t="inlineStr">
        <is>
          <t>Legal &amp; Privacy</t>
        </is>
      </c>
      <c r="D10" s="22" t="inlineStr">
        <is>
          <t>Marketing</t>
        </is>
      </c>
      <c r="E10" s="22" t="inlineStr">
        <is>
          <t>Must be live before the new site collects data.</t>
        </is>
      </c>
      <c r="F10" s="23" t="inlineStr">
        <is>
          <t>No</t>
        </is>
      </c>
      <c r="G10" s="23" t="inlineStr">
        <is>
          <t>Yes</t>
        </is>
      </c>
      <c r="H10" s="25" t="n">
        <v>21</v>
      </c>
      <c r="I10" s="23" t="inlineStr">
        <is>
          <t>No</t>
        </is>
      </c>
      <c r="J10" s="22" t="n"/>
      <c r="K10" s="23" t="n"/>
      <c r="L10" s="23" t="inlineStr">
        <is>
          <t>Scoping</t>
        </is>
      </c>
      <c r="M10" s="24" t="n"/>
      <c r="N10" s="22" t="n"/>
    </row>
    <row r="11">
      <c r="B11" s="22" t="inlineStr">
        <is>
          <t>Marketplace listing changes</t>
        </is>
      </c>
      <c r="C11" s="23" t="inlineStr">
        <is>
          <t>Partners</t>
        </is>
      </c>
      <c r="D11" s="22" t="inlineStr">
        <is>
          <t>Marketing; Product</t>
        </is>
      </c>
      <c r="E11" s="22" t="inlineStr">
        <is>
          <t>Third-party review cycles are outside our control.</t>
        </is>
      </c>
      <c r="F11" s="23" t="inlineStr">
        <is>
          <t>No</t>
        </is>
      </c>
      <c r="G11" s="23" t="inlineStr">
        <is>
          <t>Yes</t>
        </is>
      </c>
      <c r="H11" s="25" t="n">
        <v>30</v>
      </c>
      <c r="I11" s="23" t="inlineStr">
        <is>
          <t>Unknown</t>
        </is>
      </c>
      <c r="J11" s="22" t="n"/>
      <c r="K11" s="23" t="n"/>
      <c r="L11" s="23" t="inlineStr">
        <is>
          <t>Scoping</t>
        </is>
      </c>
      <c r="M11" s="24" t="n"/>
      <c r="N11" s="22" t="n"/>
    </row>
    <row r="12">
      <c r="B12" s="22" t="inlineStr">
        <is>
          <t>Payment portal move</t>
        </is>
      </c>
      <c r="C12" s="23" t="inlineStr">
        <is>
          <t>Finance &amp; Procurement</t>
        </is>
      </c>
      <c r="D12" s="22" t="inlineStr">
        <is>
          <t>Engineering</t>
        </is>
      </c>
      <c r="E12" s="22" t="inlineStr">
        <is>
          <t>Billing must not be interrupted.</t>
        </is>
      </c>
      <c r="F12" s="23" t="inlineStr">
        <is>
          <t>Yes</t>
        </is>
      </c>
      <c r="G12" s="23" t="inlineStr">
        <is>
          <t>Yes</t>
        </is>
      </c>
      <c r="H12" s="25" t="n">
        <v>60</v>
      </c>
      <c r="I12" s="23" t="inlineStr">
        <is>
          <t>Yes</t>
        </is>
      </c>
      <c r="J12" s="22" t="n"/>
      <c r="K12" s="23" t="n"/>
      <c r="L12" s="23" t="inlineStr">
        <is>
          <t>Scoping</t>
        </is>
      </c>
      <c r="M12" s="24" t="n"/>
      <c r="N12" s="22" t="n"/>
    </row>
    <row r="13">
      <c r="B13" s="22" t="n"/>
      <c r="C13" s="23" t="n"/>
      <c r="D13" s="22" t="n"/>
      <c r="E13" s="22" t="n"/>
      <c r="F13" s="23" t="n"/>
      <c r="G13" s="23" t="n"/>
      <c r="H13" s="25" t="n"/>
      <c r="I13" s="23" t="n"/>
      <c r="J13" s="22" t="n"/>
      <c r="K13" s="23" t="n"/>
      <c r="L13" s="23" t="n"/>
      <c r="M13" s="24" t="n"/>
      <c r="N13" s="22" t="n"/>
    </row>
    <row r="14">
      <c r="B14" s="22" t="n"/>
      <c r="C14" s="23" t="n"/>
      <c r="D14" s="22" t="n"/>
      <c r="E14" s="22" t="n"/>
      <c r="F14" s="23" t="n"/>
      <c r="G14" s="23" t="n"/>
      <c r="H14" s="25" t="n"/>
      <c r="I14" s="23" t="n"/>
      <c r="J14" s="22" t="n"/>
      <c r="K14" s="23" t="n"/>
      <c r="L14" s="23" t="n"/>
      <c r="M14" s="24" t="n"/>
      <c r="N14" s="22" t="n"/>
    </row>
    <row r="15">
      <c r="B15" s="22" t="n"/>
      <c r="C15" s="23" t="n"/>
      <c r="D15" s="22" t="n"/>
      <c r="E15" s="22" t="n"/>
      <c r="F15" s="23" t="n"/>
      <c r="G15" s="23" t="n"/>
      <c r="H15" s="25" t="n"/>
      <c r="I15" s="23" t="n"/>
      <c r="J15" s="22" t="n"/>
      <c r="K15" s="23" t="n"/>
      <c r="L15" s="23" t="n"/>
      <c r="M15" s="24" t="n"/>
      <c r="N15" s="22" t="n"/>
    </row>
    <row r="16">
      <c r="B16" s="22" t="n"/>
      <c r="C16" s="23" t="n"/>
      <c r="D16" s="22" t="n"/>
      <c r="E16" s="22" t="n"/>
      <c r="F16" s="23" t="n"/>
      <c r="G16" s="23" t="n"/>
      <c r="H16" s="25" t="n"/>
      <c r="I16" s="23" t="n"/>
      <c r="J16" s="22" t="n"/>
      <c r="K16" s="23" t="n"/>
      <c r="L16" s="23" t="n"/>
      <c r="M16" s="24" t="n"/>
      <c r="N16" s="22" t="n"/>
    </row>
    <row r="17">
      <c r="B17" s="22" t="n"/>
      <c r="C17" s="23" t="n"/>
      <c r="D17" s="22" t="n"/>
      <c r="E17" s="22" t="n"/>
      <c r="F17" s="23" t="n"/>
      <c r="G17" s="23" t="n"/>
      <c r="H17" s="25" t="n"/>
      <c r="I17" s="23" t="n"/>
      <c r="J17" s="22" t="n"/>
      <c r="K17" s="23" t="n"/>
      <c r="L17" s="23" t="n"/>
      <c r="M17" s="24" t="n"/>
      <c r="N17" s="22" t="n"/>
    </row>
    <row r="18">
      <c r="B18" s="22" t="n"/>
      <c r="C18" s="23" t="n"/>
      <c r="D18" s="22" t="n"/>
      <c r="E18" s="22" t="n"/>
      <c r="F18" s="23" t="n"/>
      <c r="G18" s="23" t="n"/>
      <c r="H18" s="25" t="n"/>
      <c r="I18" s="23" t="n"/>
      <c r="J18" s="22" t="n"/>
      <c r="K18" s="23" t="n"/>
      <c r="L18" s="23" t="n"/>
      <c r="M18" s="24" t="n"/>
      <c r="N18" s="22" t="n"/>
    </row>
    <row r="19">
      <c r="B19" s="22" t="n"/>
      <c r="C19" s="23" t="n"/>
      <c r="D19" s="22" t="n"/>
      <c r="E19" s="22" t="n"/>
      <c r="F19" s="23" t="n"/>
      <c r="G19" s="23" t="n"/>
      <c r="H19" s="25" t="n"/>
      <c r="I19" s="23" t="n"/>
      <c r="J19" s="22" t="n"/>
      <c r="K19" s="23" t="n"/>
      <c r="L19" s="23" t="n"/>
      <c r="M19" s="24" t="n"/>
      <c r="N19" s="22" t="n"/>
    </row>
    <row r="20">
      <c r="B20" s="22" t="n"/>
      <c r="C20" s="23" t="n"/>
      <c r="D20" s="22" t="n"/>
      <c r="E20" s="22" t="n"/>
      <c r="F20" s="23" t="n"/>
      <c r="G20" s="23" t="n"/>
      <c r="H20" s="25" t="n"/>
      <c r="I20" s="23" t="n"/>
      <c r="J20" s="22" t="n"/>
      <c r="K20" s="23" t="n"/>
      <c r="L20" s="23" t="n"/>
      <c r="M20" s="24" t="n"/>
      <c r="N20" s="22" t="n"/>
    </row>
    <row r="21">
      <c r="B21" s="22" t="n"/>
      <c r="C21" s="23" t="n"/>
      <c r="D21" s="22" t="n"/>
      <c r="E21" s="22" t="n"/>
      <c r="F21" s="23" t="n"/>
      <c r="G21" s="23" t="n"/>
      <c r="H21" s="25" t="n"/>
      <c r="I21" s="23" t="n"/>
      <c r="J21" s="22" t="n"/>
      <c r="K21" s="23" t="n"/>
      <c r="L21" s="23" t="n"/>
      <c r="M21" s="24" t="n"/>
      <c r="N21" s="22" t="n"/>
    </row>
    <row r="22">
      <c r="B22" s="22" t="n"/>
      <c r="C22" s="23" t="n"/>
      <c r="D22" s="22" t="n"/>
      <c r="E22" s="22" t="n"/>
      <c r="F22" s="23" t="n"/>
      <c r="G22" s="23" t="n"/>
      <c r="H22" s="25" t="n"/>
      <c r="I22" s="23" t="n"/>
      <c r="J22" s="22" t="n"/>
      <c r="K22" s="23" t="n"/>
      <c r="L22" s="23" t="n"/>
      <c r="M22" s="24" t="n"/>
      <c r="N22" s="22" t="n"/>
    </row>
    <row r="23">
      <c r="B23" s="22" t="n"/>
      <c r="C23" s="23" t="n"/>
      <c r="D23" s="22" t="n"/>
      <c r="E23" s="22" t="n"/>
      <c r="F23" s="23" t="n"/>
      <c r="G23" s="23" t="n"/>
      <c r="H23" s="25" t="n"/>
      <c r="I23" s="23" t="n"/>
      <c r="J23" s="22" t="n"/>
      <c r="K23" s="23" t="n"/>
      <c r="L23" s="23" t="n"/>
      <c r="M23" s="24" t="n"/>
      <c r="N23" s="22" t="n"/>
    </row>
    <row r="24">
      <c r="B24" s="22" t="n"/>
      <c r="C24" s="23" t="n"/>
      <c r="D24" s="22" t="n"/>
      <c r="E24" s="22" t="n"/>
      <c r="F24" s="23" t="n"/>
      <c r="G24" s="23" t="n"/>
      <c r="H24" s="25" t="n"/>
      <c r="I24" s="23" t="n"/>
      <c r="J24" s="22" t="n"/>
      <c r="K24" s="23" t="n"/>
      <c r="L24" s="23" t="n"/>
      <c r="M24" s="24" t="n"/>
      <c r="N24" s="22" t="n"/>
    </row>
    <row r="25">
      <c r="B25" s="22" t="n"/>
      <c r="C25" s="23" t="n"/>
      <c r="D25" s="22" t="n"/>
      <c r="E25" s="22" t="n"/>
      <c r="F25" s="23" t="n"/>
      <c r="G25" s="23" t="n"/>
      <c r="H25" s="25" t="n"/>
      <c r="I25" s="23" t="n"/>
      <c r="J25" s="22" t="n"/>
      <c r="K25" s="23" t="n"/>
      <c r="L25" s="23" t="n"/>
      <c r="M25" s="24" t="n"/>
      <c r="N25" s="22" t="n"/>
    </row>
    <row r="26">
      <c r="B26" s="22" t="n"/>
      <c r="C26" s="23" t="n"/>
      <c r="D26" s="22" t="n"/>
      <c r="E26" s="22" t="n"/>
      <c r="F26" s="23" t="n"/>
      <c r="G26" s="23" t="n"/>
      <c r="H26" s="25" t="n"/>
      <c r="I26" s="23" t="n"/>
      <c r="J26" s="22" t="n"/>
      <c r="K26" s="23" t="n"/>
      <c r="L26" s="23" t="n"/>
      <c r="M26" s="24" t="n"/>
      <c r="N26" s="22" t="n"/>
    </row>
  </sheetData>
  <conditionalFormatting sqref="F7:F26">
    <cfRule type="expression" priority="1" dxfId="1">
      <formula>F7="Yes"</formula>
    </cfRule>
  </conditionalFormatting>
  <dataValidations count="3">
    <dataValidation sqref="C7:C26" showDropDown="0" showInputMessage="0" showErrorMessage="0" allowBlank="1" error="That isn't on the list. Keep it anyway?" type="list" errorStyle="information">
      <formula1>=Summary!$B$12:$B$26</formula1>
    </dataValidation>
    <dataValidation sqref="F7:G26 I7:I26" showDropDown="0" showInputMessage="0" showErrorMessage="0" allowBlank="1" type="list">
      <formula1>=Lists!$D$7:$D$10</formula1>
    </dataValidation>
    <dataValidation sqref="L7:L26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Marketing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Website</t>
        </is>
      </c>
      <c r="C10" s="22" t="inlineStr">
        <is>
          <t>Web pages</t>
        </is>
      </c>
      <c r="D10" s="22" t="inlineStr">
        <is>
          <t>Corporate site pages moving to the new platform</t>
        </is>
      </c>
      <c r="E10" s="23" t="inlineStr">
        <is>
          <t>Web manager</t>
        </is>
      </c>
      <c r="F10" s="23" t="inlineStr">
        <is>
          <t>Current CMS</t>
        </is>
      </c>
      <c r="G10" s="25" t="n">
        <v>12</v>
      </c>
      <c r="H10" s="25" t="n">
        <v>12</v>
      </c>
      <c r="I10" s="28" t="n">
        <v>0.25</v>
      </c>
      <c r="J10" s="12">
        <f>IF(OR(H10="",I10=""),"",ROUND(H10*I10,0))</f>
        <v/>
      </c>
      <c r="K10" s="23" t="inlineStr">
        <is>
          <t>Content update</t>
        </is>
      </c>
      <c r="L10" s="23" t="inlineStr">
        <is>
          <t>Medium</t>
        </is>
      </c>
      <c r="M10" s="25" t="n">
        <v>24</v>
      </c>
      <c r="N10" s="29" t="n">
        <v>0.5</v>
      </c>
      <c r="O10" s="25" t="n">
        <v>16</v>
      </c>
      <c r="P10" s="12">
        <f>IF(AND(J10="",M10="",O10=""),"",N(M10)+N(J10)*N(N10)+N(O10))</f>
        <v/>
      </c>
      <c r="Q10" s="30">
        <f>IF(P10="","",P10/Lists!$C$18)</f>
        <v/>
      </c>
      <c r="R10" s="31" t="n">
        <v>85</v>
      </c>
      <c r="S10" s="14">
        <f>IF(OR(P10="",R10=""),"",P10*R10)</f>
        <v/>
      </c>
      <c r="T10" s="32" t="n">
        <v>5000</v>
      </c>
      <c r="U10" s="14">
        <f>IF(AND(S10="",T10=""),"",N(S10)+N(T10))</f>
        <v/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2" t="inlineStr">
        <is>
          <t>Platform choice confirmed</t>
        </is>
      </c>
      <c r="AA10" s="25" t="n">
        <v>45</v>
      </c>
      <c r="AB10" s="23" t="inlineStr">
        <is>
          <t>Low</t>
        </is>
      </c>
      <c r="AC10" s="23" t="inlineStr">
        <is>
          <t>Medium</t>
        </is>
      </c>
      <c r="AD10" s="23" t="inlineStr">
        <is>
          <t>No</t>
        </is>
      </c>
      <c r="AE10" s="23" t="inlineStr">
        <is>
          <t>Update</t>
        </is>
      </c>
      <c r="AF10" s="23" t="inlineStr">
        <is>
          <t>0–30 days</t>
        </is>
      </c>
      <c r="AG10" s="23" t="inlineStr">
        <is>
          <t>Scoping</t>
        </is>
      </c>
      <c r="AH10" s="22" t="inlineStr">
        <is>
          <t>Example row: replace with your own estimate.</t>
        </is>
      </c>
    </row>
    <row r="11">
      <c r="B11" s="23" t="inlineStr">
        <is>
          <t>Website</t>
        </is>
      </c>
      <c r="C11" s="22" t="inlineStr">
        <is>
          <t>URL redirects</t>
        </is>
      </c>
      <c r="D11" s="22" t="inlineStr">
        <is>
          <t>Map old URLs to new ones to keep traffic and search ranking</t>
        </is>
      </c>
      <c r="E11" s="23" t="inlineStr">
        <is>
          <t>Web manager</t>
        </is>
      </c>
      <c r="F11" s="23" t="inlineStr">
        <is>
          <t>Web host</t>
        </is>
      </c>
      <c r="G11" s="25" t="n">
        <v>250</v>
      </c>
      <c r="H11" s="25" t="n">
        <v>188</v>
      </c>
      <c r="I11" s="28" t="n">
        <v>0.5</v>
      </c>
      <c r="J11" s="12">
        <f>IF(OR(H11="",I11=""),"",ROUND(H11*I11,0))</f>
        <v/>
      </c>
      <c r="K11" s="23" t="inlineStr">
        <is>
          <t>Full rebuild</t>
        </is>
      </c>
      <c r="L11" s="23" t="inlineStr">
        <is>
          <t>Medium</t>
        </is>
      </c>
      <c r="M11" s="25" t="n">
        <v>16</v>
      </c>
      <c r="N11" s="29" t="n">
        <v>0.5</v>
      </c>
      <c r="O11" s="25" t="n">
        <v>16</v>
      </c>
      <c r="P11" s="12">
        <f>IF(AND(J11="",M11="",O11=""),"",N(M11)+N(J11)*N(N11)+N(O11))</f>
        <v/>
      </c>
      <c r="Q11" s="30">
        <f>IF(P11="","",P11/Lists!$C$18)</f>
        <v/>
      </c>
      <c r="R11" s="31" t="n">
        <v>95</v>
      </c>
      <c r="S11" s="14">
        <f>IF(OR(P11="",R11=""),"",P11*R11)</f>
        <v/>
      </c>
      <c r="T11" s="32" t="n">
        <v>12000</v>
      </c>
      <c r="U11" s="14">
        <f>IF(AND(S11="",T11=""),"",N(S11)+N(T11))</f>
        <v/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2" t="n"/>
      <c r="AA11" s="25" t="n">
        <v>14</v>
      </c>
      <c r="AB11" s="23" t="inlineStr">
        <is>
          <t>Critical</t>
        </is>
      </c>
      <c r="AC11" s="23" t="inlineStr">
        <is>
          <t>Low</t>
        </is>
      </c>
      <c r="AD11" s="23" t="inlineStr">
        <is>
          <t>Yes</t>
        </is>
      </c>
      <c r="AE11" s="23" t="inlineStr">
        <is>
          <t>Update</t>
        </is>
      </c>
      <c r="AF11" s="23" t="inlineStr">
        <is>
          <t>0–30 days</t>
        </is>
      </c>
      <c r="AG11" s="23" t="inlineStr">
        <is>
          <t>Validated</t>
        </is>
      </c>
      <c r="AH11" s="22" t="n"/>
    </row>
    <row r="12">
      <c r="B12" s="23" t="inlineStr">
        <is>
          <t>Website</t>
        </is>
      </c>
      <c r="C12" s="22" t="inlineStr">
        <is>
          <t>Web forms</t>
        </is>
      </c>
      <c r="D12" s="22" t="inlineStr">
        <is>
          <t>Contact, demo and download forms</t>
        </is>
      </c>
      <c r="E12" s="23" t="inlineStr">
        <is>
          <t>Marketing operations</t>
        </is>
      </c>
      <c r="F12" s="23" t="inlineStr">
        <is>
          <t>Marketing automation</t>
        </is>
      </c>
      <c r="G12" s="25" t="n">
        <v>60</v>
      </c>
      <c r="H12" s="25" t="n">
        <v>36</v>
      </c>
      <c r="I12" s="28" t="n">
        <v>0.75</v>
      </c>
      <c r="J12" s="12">
        <f>IF(OR(H12="",I12=""),"",ROUND(H12*I12,0))</f>
        <v/>
      </c>
      <c r="K12" s="23" t="inlineStr">
        <is>
          <t>Multiple changes</t>
        </is>
      </c>
      <c r="L12" s="23" t="inlineStr">
        <is>
          <t>High</t>
        </is>
      </c>
      <c r="M12" s="25" t="n">
        <v>24</v>
      </c>
      <c r="N12" s="29" t="n">
        <v>4</v>
      </c>
      <c r="O12" s="25" t="n">
        <v>2</v>
      </c>
      <c r="P12" s="12">
        <f>IF(AND(J12="",M12="",O12=""),"",N(M12)+N(J12)*N(N12)+N(O12))</f>
        <v/>
      </c>
      <c r="Q12" s="30">
        <f>IF(P12="","",P12/Lists!$C$18)</f>
        <v/>
      </c>
      <c r="R12" s="31" t="n">
        <v>85</v>
      </c>
      <c r="S12" s="14">
        <f>IF(OR(P12="",R12=""),"",P12*R12)</f>
        <v/>
      </c>
      <c r="T12" s="32" t="n">
        <v>5000</v>
      </c>
      <c r="U12" s="14">
        <f>IF(AND(S12="",T12=""),"",N(S12)+N(T12))</f>
        <v/>
      </c>
      <c r="V12" s="23" t="inlineStr">
        <is>
          <t>Yes</t>
        </is>
      </c>
      <c r="W12" s="23" t="inlineStr">
        <is>
          <t>Yes</t>
        </is>
      </c>
      <c r="X12" s="23" t="inlineStr">
        <is>
          <t>Partial</t>
        </is>
      </c>
      <c r="Y12" s="23" t="inlineStr">
        <is>
          <t>Yes</t>
        </is>
      </c>
      <c r="Z12" s="22" t="n"/>
      <c r="AA12" s="25" t="n">
        <v>30</v>
      </c>
      <c r="AB12" s="23" t="inlineStr">
        <is>
          <t>Medium</t>
        </is>
      </c>
      <c r="AC12" s="23" t="inlineStr">
        <is>
          <t>Medium</t>
        </is>
      </c>
      <c r="AD12" s="23" t="inlineStr">
        <is>
          <t>Yes</t>
        </is>
      </c>
      <c r="AE12" s="23" t="inlineStr">
        <is>
          <t>Update</t>
        </is>
      </c>
      <c r="AF12" s="23" t="inlineStr">
        <is>
          <t>0–30 days</t>
        </is>
      </c>
      <c r="AG12" s="23" t="inlineStr">
        <is>
          <t>Not started</t>
        </is>
      </c>
      <c r="AH12" s="22" t="n"/>
    </row>
    <row r="13">
      <c r="B13" s="23" t="inlineStr">
        <is>
          <t>Email</t>
        </is>
      </c>
      <c r="C13" s="22" t="inlineStr">
        <is>
          <t>Email templates</t>
        </is>
      </c>
      <c r="D13" s="22" t="inlineStr">
        <is>
          <t>Newsletter and nurture templates that link to the site</t>
        </is>
      </c>
      <c r="E13" s="23" t="inlineStr">
        <is>
          <t>Marketing operations</t>
        </is>
      </c>
      <c r="F13" s="23" t="inlineStr">
        <is>
          <t>Marketing automation</t>
        </is>
      </c>
      <c r="G13" s="25" t="n">
        <v>4</v>
      </c>
      <c r="H13" s="25" t="n">
        <v>2</v>
      </c>
      <c r="I13" s="28" t="n">
        <v>0.5</v>
      </c>
      <c r="J13" s="12">
        <f>IF(OR(H13="",I13=""),"",ROUND(H13*I13,0))</f>
        <v/>
      </c>
      <c r="K13" s="23" t="inlineStr">
        <is>
          <t>URL / link</t>
        </is>
      </c>
      <c r="L13" s="23" t="inlineStr">
        <is>
          <t>High</t>
        </is>
      </c>
      <c r="M13" s="25" t="n">
        <v>4</v>
      </c>
      <c r="N13" s="29" t="n">
        <v>0.5</v>
      </c>
      <c r="O13" s="25" t="n">
        <v>2</v>
      </c>
      <c r="P13" s="12">
        <f>IF(AND(J13="",M13="",O13=""),"",N(M13)+N(J13)*N(N13)+N(O13))</f>
        <v/>
      </c>
      <c r="Q13" s="30">
        <f>IF(P13="","",P13/Lists!$C$18)</f>
        <v/>
      </c>
      <c r="R13" s="31" t="n">
        <v>85</v>
      </c>
      <c r="S13" s="14">
        <f>IF(OR(P13="",R13=""),"",P13*R13)</f>
        <v/>
      </c>
      <c r="T13" s="32" t="n">
        <v>5000</v>
      </c>
      <c r="U13" s="14">
        <f>IF(AND(S13="",T13=""),"",N(S13)+N(T13))</f>
        <v/>
      </c>
      <c r="V13" s="23" t="inlineStr">
        <is>
          <t>No</t>
        </is>
      </c>
      <c r="W13" s="23" t="inlineStr">
        <is>
          <t>No</t>
        </is>
      </c>
      <c r="X13" s="23" t="inlineStr">
        <is>
          <t>Partial</t>
        </is>
      </c>
      <c r="Y13" s="23" t="inlineStr">
        <is>
          <t>No</t>
        </is>
      </c>
      <c r="Z13" s="22" t="n"/>
      <c r="AA13" s="25" t="n">
        <v>30</v>
      </c>
      <c r="AB13" s="23" t="inlineStr">
        <is>
          <t>Medium</t>
        </is>
      </c>
      <c r="AC13" s="23" t="inlineStr">
        <is>
          <t>High</t>
        </is>
      </c>
      <c r="AD13" s="23" t="inlineStr">
        <is>
          <t>No</t>
        </is>
      </c>
      <c r="AE13" s="23" t="inlineStr">
        <is>
          <t>Update</t>
        </is>
      </c>
      <c r="AF13" s="23" t="inlineStr">
        <is>
          <t>31–90 days</t>
        </is>
      </c>
      <c r="AG13" s="23" t="inlineStr">
        <is>
          <t>Scoping</t>
        </is>
      </c>
      <c r="AH13" s="22" t="n"/>
    </row>
    <row r="14">
      <c r="B14" s="23" t="inlineStr">
        <is>
          <t>Content</t>
        </is>
      </c>
      <c r="C14" s="22" t="inlineStr">
        <is>
          <t>Resource library</t>
        </is>
      </c>
      <c r="D14" s="22" t="inlineStr">
        <is>
          <t>Guides, reports and case studies with site links</t>
        </is>
      </c>
      <c r="E14" s="23" t="inlineStr">
        <is>
          <t>Content lead</t>
        </is>
      </c>
      <c r="F14" s="23" t="inlineStr">
        <is>
          <t>Current CMS</t>
        </is>
      </c>
      <c r="G14" s="25" t="n">
        <v>40</v>
      </c>
      <c r="H14" s="25" t="n">
        <v>24</v>
      </c>
      <c r="I14" s="28" t="n">
        <v>1</v>
      </c>
      <c r="J14" s="12">
        <f>IF(OR(H14="",I14=""),"",ROUND(H14*I14,0))</f>
        <v/>
      </c>
      <c r="K14" s="23" t="inlineStr">
        <is>
          <t>Full rebuild</t>
        </is>
      </c>
      <c r="L14" s="23" t="inlineStr">
        <is>
          <t>Medium</t>
        </is>
      </c>
      <c r="M14" s="25" t="n">
        <v>40</v>
      </c>
      <c r="N14" s="29" t="n">
        <v>4</v>
      </c>
      <c r="O14" s="25" t="n">
        <v>4</v>
      </c>
      <c r="P14" s="12">
        <f>IF(AND(J14="",M14="",O14=""),"",N(M14)+N(J14)*N(N14)+N(O14))</f>
        <v/>
      </c>
      <c r="Q14" s="30">
        <f>IF(P14="","",P14/Lists!$C$18)</f>
        <v/>
      </c>
      <c r="R14" s="31" t="n">
        <v>85</v>
      </c>
      <c r="S14" s="14">
        <f>IF(OR(P14="",R14=""),"",P14*R14)</f>
        <v/>
      </c>
      <c r="T14" s="32" t="n">
        <v>5000</v>
      </c>
      <c r="U14" s="14">
        <f>IF(AND(S14="",T14=""),"",N(S14)+N(T14))</f>
        <v/>
      </c>
      <c r="V14" s="23" t="inlineStr">
        <is>
          <t>No</t>
        </is>
      </c>
      <c r="W14" s="23" t="inlineStr">
        <is>
          <t>Yes</t>
        </is>
      </c>
      <c r="X14" s="23" t="inlineStr">
        <is>
          <t>Yes</t>
        </is>
      </c>
      <c r="Y14" s="23" t="inlineStr">
        <is>
          <t>No</t>
        </is>
      </c>
      <c r="Z14" s="22" t="n"/>
      <c r="AA14" s="25" t="n">
        <v>30</v>
      </c>
      <c r="AB14" s="23" t="inlineStr">
        <is>
          <t>High</t>
        </is>
      </c>
      <c r="AC14" s="23" t="inlineStr">
        <is>
          <t>Medium</t>
        </is>
      </c>
      <c r="AD14" s="23" t="inlineStr">
        <is>
          <t>Partial</t>
        </is>
      </c>
      <c r="AE14" s="23" t="inlineStr">
        <is>
          <t>Redirect</t>
        </is>
      </c>
      <c r="AF14" s="23" t="inlineStr">
        <is>
          <t>31–90 days</t>
        </is>
      </c>
      <c r="AG14" s="23" t="inlineStr">
        <is>
          <t>Scoping</t>
        </is>
      </c>
      <c r="AH14" s="22" t="n"/>
    </row>
    <row r="15">
      <c r="B15" s="23" t="inlineStr">
        <is>
          <t>Social</t>
        </is>
      </c>
      <c r="C15" s="22" t="inlineStr">
        <is>
          <t>Social profile links</t>
        </is>
      </c>
      <c r="D15" s="22" t="inlineStr">
        <is>
          <t>Profile and bio links across social channels</t>
        </is>
      </c>
      <c r="E15" s="23" t="inlineStr">
        <is>
          <t>Social lead</t>
        </is>
      </c>
      <c r="F15" s="23" t="inlineStr">
        <is>
          <t>Social platforms</t>
        </is>
      </c>
      <c r="G15" s="25" t="n">
        <v>60</v>
      </c>
      <c r="H15" s="25" t="n">
        <v>60</v>
      </c>
      <c r="I15" s="28" t="n">
        <v>0.75</v>
      </c>
      <c r="J15" s="12">
        <f>IF(OR(H15="",I15=""),"",ROUND(H15*I15,0))</f>
        <v/>
      </c>
      <c r="K15" s="23" t="inlineStr">
        <is>
          <t>URL / link</t>
        </is>
      </c>
      <c r="L15" s="23" t="inlineStr">
        <is>
          <t>Medium</t>
        </is>
      </c>
      <c r="M15" s="25" t="n">
        <v>40</v>
      </c>
      <c r="N15" s="29" t="n">
        <v>4</v>
      </c>
      <c r="O15" s="25" t="n">
        <v>16</v>
      </c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>
        <v>30000</v>
      </c>
      <c r="U15" s="14">
        <f>IF(AND(S15="",T15=""),"",N(S15)+N(T15))</f>
        <v/>
      </c>
      <c r="V15" s="23" t="inlineStr">
        <is>
          <t>Yes</t>
        </is>
      </c>
      <c r="W15" s="23" t="inlineStr">
        <is>
          <t>No</t>
        </is>
      </c>
      <c r="X15" s="23" t="inlineStr">
        <is>
          <t>Partial</t>
        </is>
      </c>
      <c r="Y15" s="23" t="inlineStr">
        <is>
          <t>Yes</t>
        </is>
      </c>
      <c r="Z15" s="22" t="n"/>
      <c r="AA15" s="25" t="n">
        <v>60</v>
      </c>
      <c r="AB15" s="23" t="inlineStr">
        <is>
          <t>Medium</t>
        </is>
      </c>
      <c r="AC15" s="23" t="inlineStr">
        <is>
          <t>Medium</t>
        </is>
      </c>
      <c r="AD15" s="23" t="inlineStr">
        <is>
          <t>Yes</t>
        </is>
      </c>
      <c r="AE15" s="23" t="inlineStr">
        <is>
          <t>Merge</t>
        </is>
      </c>
      <c r="AF15" s="23" t="inlineStr">
        <is>
          <t>0–30 days</t>
        </is>
      </c>
      <c r="AG15" s="23" t="inlineStr">
        <is>
          <t>Scoping</t>
        </is>
      </c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Marketing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Product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In-product</t>
        </is>
      </c>
      <c r="C10" s="22" t="inlineStr">
        <is>
          <t>Help links</t>
        </is>
      </c>
      <c r="D10" s="22" t="inlineStr">
        <is>
          <t>Links from the product UI to help articles</t>
        </is>
      </c>
      <c r="E10" s="23" t="inlineStr">
        <is>
          <t>Product manager</t>
        </is>
      </c>
      <c r="F10" s="23" t="inlineStr">
        <is>
          <t>Product codebase</t>
        </is>
      </c>
      <c r="G10" s="25" t="n">
        <v>60</v>
      </c>
      <c r="H10" s="25" t="n">
        <v>54</v>
      </c>
      <c r="I10" s="28" t="n">
        <v>0.5</v>
      </c>
      <c r="J10" s="12">
        <f>IF(OR(H10="",I10=""),"",ROUND(H10*I10,0))</f>
        <v/>
      </c>
      <c r="K10" s="23" t="inlineStr">
        <is>
          <t>Technical configuration</t>
        </is>
      </c>
      <c r="L10" s="23" t="inlineStr">
        <is>
          <t>High</t>
        </is>
      </c>
      <c r="M10" s="25" t="n">
        <v>16</v>
      </c>
      <c r="N10" s="29" t="n">
        <v>1</v>
      </c>
      <c r="O10" s="25" t="n">
        <v>8</v>
      </c>
      <c r="P10" s="12">
        <f>IF(AND(J10="",M10="",O10=""),"",N(M10)+N(J10)*N(N10)+N(O10))</f>
        <v/>
      </c>
      <c r="Q10" s="30">
        <f>IF(P10="","",P10/Lists!$C$18)</f>
        <v/>
      </c>
      <c r="R10" s="31" t="n">
        <v>85</v>
      </c>
      <c r="S10" s="14">
        <f>IF(OR(P10="",R10=""),"",P10*R10)</f>
        <v/>
      </c>
      <c r="T10" s="32" t="n"/>
      <c r="U10" s="14">
        <f>IF(AND(S10="",T10=""),"",N(S10)+N(T10))</f>
        <v/>
      </c>
      <c r="V10" s="23" t="inlineStr">
        <is>
          <t>Yes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2" t="inlineStr">
        <is>
          <t>Platform choice confirmed</t>
        </is>
      </c>
      <c r="AA10" s="25" t="n">
        <v>5</v>
      </c>
      <c r="AB10" s="23" t="inlineStr">
        <is>
          <t>Low</t>
        </is>
      </c>
      <c r="AC10" s="23" t="inlineStr">
        <is>
          <t>High</t>
        </is>
      </c>
      <c r="AD10" s="23" t="inlineStr">
        <is>
          <t>Yes</t>
        </is>
      </c>
      <c r="AE10" s="23" t="inlineStr">
        <is>
          <t>Update</t>
        </is>
      </c>
      <c r="AF10" s="23" t="inlineStr">
        <is>
          <t>Before cutover</t>
        </is>
      </c>
      <c r="AG10" s="23" t="inlineStr">
        <is>
          <t>Validated</t>
        </is>
      </c>
      <c r="AH10" s="22" t="inlineStr">
        <is>
          <t>Example row: replace with your own estimate.</t>
        </is>
      </c>
    </row>
    <row r="11">
      <c r="B11" s="23" t="inlineStr">
        <is>
          <t>Documentation</t>
        </is>
      </c>
      <c r="C11" s="22" t="inlineStr">
        <is>
          <t>Release notes</t>
        </is>
      </c>
      <c r="D11" s="22" t="inlineStr">
        <is>
          <t>Published notes that reference portal pages</t>
        </is>
      </c>
      <c r="E11" s="23" t="inlineStr">
        <is>
          <t>Product marketing</t>
        </is>
      </c>
      <c r="F11" s="23" t="inlineStr">
        <is>
          <t>Docs site</t>
        </is>
      </c>
      <c r="G11" s="25" t="n">
        <v>40</v>
      </c>
      <c r="H11" s="25" t="n">
        <v>36</v>
      </c>
      <c r="I11" s="28" t="n">
        <v>0.75</v>
      </c>
      <c r="J11" s="12">
        <f>IF(OR(H11="",I11=""),"",ROUND(H11*I11,0))</f>
        <v/>
      </c>
      <c r="K11" s="23" t="inlineStr">
        <is>
          <t>Technical configuration</t>
        </is>
      </c>
      <c r="L11" s="23" t="inlineStr">
        <is>
          <t>High</t>
        </is>
      </c>
      <c r="M11" s="25" t="n">
        <v>4</v>
      </c>
      <c r="N11" s="29" t="n">
        <v>0.25</v>
      </c>
      <c r="O11" s="25" t="n">
        <v>16</v>
      </c>
      <c r="P11" s="12">
        <f>IF(AND(J11="",M11="",O11=""),"",N(M11)+N(J11)*N(N11)+N(O11))</f>
        <v/>
      </c>
      <c r="Q11" s="30">
        <f>IF(P11="","",P11/Lists!$C$18)</f>
        <v/>
      </c>
      <c r="R11" s="31" t="n">
        <v>95</v>
      </c>
      <c r="S11" s="14">
        <f>IF(OR(P11="",R11=""),"",P11*R11)</f>
        <v/>
      </c>
      <c r="T11" s="32" t="n"/>
      <c r="U11" s="14">
        <f>IF(AND(S11="",T11=""),"",N(S11)+N(T11))</f>
        <v/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2" t="n"/>
      <c r="AA11" s="25" t="n">
        <v>10</v>
      </c>
      <c r="AB11" s="23" t="inlineStr">
        <is>
          <t>Medium</t>
        </is>
      </c>
      <c r="AC11" s="23" t="inlineStr">
        <is>
          <t>Low</t>
        </is>
      </c>
      <c r="AD11" s="23" t="inlineStr">
        <is>
          <t>Partial</t>
        </is>
      </c>
      <c r="AE11" s="23" t="inlineStr">
        <is>
          <t>Update</t>
        </is>
      </c>
      <c r="AF11" s="23" t="inlineStr">
        <is>
          <t>0–30 days</t>
        </is>
      </c>
      <c r="AG11" s="23" t="inlineStr">
        <is>
          <t>Validated</t>
        </is>
      </c>
      <c r="AH11" s="22" t="n"/>
    </row>
    <row r="12">
      <c r="B12" s="23" t="inlineStr">
        <is>
          <t>In-product</t>
        </is>
      </c>
      <c r="C12" s="22" t="inlineStr">
        <is>
          <t>Notification emails</t>
        </is>
      </c>
      <c r="D12" s="22" t="inlineStr">
        <is>
          <t>System emails sent from the product</t>
        </is>
      </c>
      <c r="E12" s="23" t="inlineStr">
        <is>
          <t>Product manager</t>
        </is>
      </c>
      <c r="F12" s="23" t="inlineStr">
        <is>
          <t>Notification service</t>
        </is>
      </c>
      <c r="G12" s="25" t="n">
        <v>250</v>
      </c>
      <c r="H12" s="25" t="n">
        <v>188</v>
      </c>
      <c r="I12" s="28" t="n">
        <v>0.25</v>
      </c>
      <c r="J12" s="12">
        <f>IF(OR(H12="",I12=""),"",ROUND(H12*I12,0))</f>
        <v/>
      </c>
      <c r="K12" s="23" t="inlineStr">
        <is>
          <t>Visual update</t>
        </is>
      </c>
      <c r="L12" s="23" t="inlineStr">
        <is>
          <t>Low</t>
        </is>
      </c>
      <c r="M12" s="25" t="n">
        <v>40</v>
      </c>
      <c r="N12" s="29" t="n">
        <v>2</v>
      </c>
      <c r="O12" s="25" t="n">
        <v>8</v>
      </c>
      <c r="P12" s="12">
        <f>IF(AND(J12="",M12="",O12=""),"",N(M12)+N(J12)*N(N12)+N(O12))</f>
        <v/>
      </c>
      <c r="Q12" s="30">
        <f>IF(P12="","",P12/Lists!$C$18)</f>
        <v/>
      </c>
      <c r="R12" s="31" t="n">
        <v>85</v>
      </c>
      <c r="S12" s="14">
        <f>IF(OR(P12="",R12=""),"",P12*R12)</f>
        <v/>
      </c>
      <c r="T12" s="32" t="n"/>
      <c r="U12" s="14">
        <f>IF(AND(S12="",T12=""),"",N(S12)+N(T12))</f>
        <v/>
      </c>
      <c r="V12" s="23" t="inlineStr">
        <is>
          <t>No</t>
        </is>
      </c>
      <c r="W12" s="23" t="inlineStr">
        <is>
          <t>Yes</t>
        </is>
      </c>
      <c r="X12" s="23" t="inlineStr">
        <is>
          <t>No</t>
        </is>
      </c>
      <c r="Y12" s="23" t="inlineStr">
        <is>
          <t>No</t>
        </is>
      </c>
      <c r="Z12" s="22" t="n"/>
      <c r="AA12" s="25" t="n">
        <v>10</v>
      </c>
      <c r="AB12" s="23" t="inlineStr">
        <is>
          <t>Medium</t>
        </is>
      </c>
      <c r="AC12" s="23" t="inlineStr">
        <is>
          <t>Low</t>
        </is>
      </c>
      <c r="AD12" s="23" t="inlineStr">
        <is>
          <t>No</t>
        </is>
      </c>
      <c r="AE12" s="23" t="inlineStr">
        <is>
          <t>Update</t>
        </is>
      </c>
      <c r="AF12" s="23" t="inlineStr">
        <is>
          <t>Before cutover</t>
        </is>
      </c>
      <c r="AG12" s="23" t="inlineStr">
        <is>
          <t>Scoping</t>
        </is>
      </c>
      <c r="AH12" s="22" t="n"/>
    </row>
    <row r="13">
      <c r="B13" s="23" t="inlineStr">
        <is>
          <t>Documentation</t>
        </is>
      </c>
      <c r="C13" s="22" t="inlineStr">
        <is>
          <t>Admin guides</t>
        </is>
      </c>
      <c r="D13" s="22" t="inlineStr">
        <is>
          <t>Online and PDF admin guides</t>
        </is>
      </c>
      <c r="E13" s="23" t="inlineStr">
        <is>
          <t>Technical writer</t>
        </is>
      </c>
      <c r="F13" s="23" t="inlineStr">
        <is>
          <t>Docs site</t>
        </is>
      </c>
      <c r="G13" s="25" t="n">
        <v>800</v>
      </c>
      <c r="H13" s="25" t="n">
        <v>600</v>
      </c>
      <c r="I13" s="28" t="n">
        <v>0.5</v>
      </c>
      <c r="J13" s="12">
        <f>IF(OR(H13="",I13=""),"",ROUND(H13*I13,0))</f>
        <v/>
      </c>
      <c r="K13" s="23" t="inlineStr">
        <is>
          <t>Legal text</t>
        </is>
      </c>
      <c r="L13" s="23" t="inlineStr">
        <is>
          <t>Low</t>
        </is>
      </c>
      <c r="M13" s="25" t="n">
        <v>24</v>
      </c>
      <c r="N13" s="29" t="n">
        <v>0.5</v>
      </c>
      <c r="O13" s="25" t="n">
        <v>2</v>
      </c>
      <c r="P13" s="12">
        <f>IF(AND(J13="",M13="",O13=""),"",N(M13)+N(J13)*N(N13)+N(O13))</f>
        <v/>
      </c>
      <c r="Q13" s="30">
        <f>IF(P13="","",P13/Lists!$C$18)</f>
        <v/>
      </c>
      <c r="R13" s="31" t="n">
        <v>95</v>
      </c>
      <c r="S13" s="14">
        <f>IF(OR(P13="",R13=""),"",P13*R13)</f>
        <v/>
      </c>
      <c r="T13" s="32" t="n"/>
      <c r="U13" s="14">
        <f>IF(AND(S13="",T13=""),"",N(S13)+N(T13))</f>
        <v/>
      </c>
      <c r="V13" s="23" t="inlineStr">
        <is>
          <t>No</t>
        </is>
      </c>
      <c r="W13" s="23" t="inlineStr">
        <is>
          <t>No</t>
        </is>
      </c>
      <c r="X13" s="23" t="inlineStr">
        <is>
          <t>Partial</t>
        </is>
      </c>
      <c r="Y13" s="23" t="inlineStr">
        <is>
          <t>Yes</t>
        </is>
      </c>
      <c r="Z13" s="22" t="n"/>
      <c r="AA13" s="25" t="n">
        <v>60</v>
      </c>
      <c r="AB13" s="23" t="inlineStr">
        <is>
          <t>Low</t>
        </is>
      </c>
      <c r="AC13" s="23" t="inlineStr">
        <is>
          <t>Medium</t>
        </is>
      </c>
      <c r="AD13" s="23" t="inlineStr">
        <is>
          <t>Partial</t>
        </is>
      </c>
      <c r="AE13" s="23" t="inlineStr">
        <is>
          <t>Retire</t>
        </is>
      </c>
      <c r="AF13" s="23" t="inlineStr">
        <is>
          <t>0–30 days</t>
        </is>
      </c>
      <c r="AG13" s="23" t="inlineStr">
        <is>
          <t>Not started</t>
        </is>
      </c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Product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Engineering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Integrations</t>
        </is>
      </c>
      <c r="C10" s="22" t="inlineStr">
        <is>
          <t>API documentation</t>
        </is>
      </c>
      <c r="D10" s="22" t="inlineStr">
        <is>
          <t>Endpoint references and code samples</t>
        </is>
      </c>
      <c r="E10" s="23" t="inlineStr">
        <is>
          <t>Engineering lead</t>
        </is>
      </c>
      <c r="F10" s="23" t="inlineStr">
        <is>
          <t>Developer portal</t>
        </is>
      </c>
      <c r="G10" s="25" t="n">
        <v>40</v>
      </c>
      <c r="H10" s="25" t="n">
        <v>30</v>
      </c>
      <c r="I10" s="28" t="n">
        <v>1</v>
      </c>
      <c r="J10" s="12">
        <f>IF(OR(H10="",I10=""),"",ROUND(H10*I10,0))</f>
        <v/>
      </c>
      <c r="K10" s="23" t="inlineStr">
        <is>
          <t>Multiple changes</t>
        </is>
      </c>
      <c r="L10" s="23" t="inlineStr">
        <is>
          <t>Low</t>
        </is>
      </c>
      <c r="M10" s="25" t="n">
        <v>8</v>
      </c>
      <c r="N10" s="29" t="n">
        <v>2</v>
      </c>
      <c r="O10" s="25" t="n">
        <v>8</v>
      </c>
      <c r="P10" s="12">
        <f>IF(AND(J10="",M10="",O10=""),"",N(M10)+N(J10)*N(N10)+N(O10))</f>
        <v/>
      </c>
      <c r="Q10" s="30">
        <f>IF(P10="","",P10/Lists!$C$18)</f>
        <v/>
      </c>
      <c r="R10" s="31" t="n">
        <v>95</v>
      </c>
      <c r="S10" s="14">
        <f>IF(OR(P10="",R10=""),"",P10*R10)</f>
        <v/>
      </c>
      <c r="T10" s="32" t="n"/>
      <c r="U10" s="14">
        <f>IF(AND(S10="",T10=""),"",N(S10)+N(T10))</f>
        <v/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2" t="inlineStr">
        <is>
          <t>Platform choice confirmed</t>
        </is>
      </c>
      <c r="AA10" s="25" t="n">
        <v>45</v>
      </c>
      <c r="AB10" s="23" t="inlineStr">
        <is>
          <t>Medium</t>
        </is>
      </c>
      <c r="AC10" s="23" t="inlineStr">
        <is>
          <t>Medium</t>
        </is>
      </c>
      <c r="AD10" s="23" t="inlineStr">
        <is>
          <t>Yes</t>
        </is>
      </c>
      <c r="AE10" s="23" t="inlineStr">
        <is>
          <t>Redirect</t>
        </is>
      </c>
      <c r="AF10" s="23" t="inlineStr">
        <is>
          <t>Before cutover</t>
        </is>
      </c>
      <c r="AG10" s="23" t="inlineStr">
        <is>
          <t>Validated</t>
        </is>
      </c>
      <c r="AH10" s="22" t="inlineStr">
        <is>
          <t>Example row: replace with your own estimate.</t>
        </is>
      </c>
    </row>
    <row r="11">
      <c r="B11" s="23" t="inlineStr">
        <is>
          <t>Integrations</t>
        </is>
      </c>
      <c r="C11" s="22" t="inlineStr">
        <is>
          <t>Webhook endpoints</t>
        </is>
      </c>
      <c r="D11" s="22" t="inlineStr">
        <is>
          <t>Callback URLs that customers configure</t>
        </is>
      </c>
      <c r="E11" s="23" t="inlineStr">
        <is>
          <t>Engineering lead</t>
        </is>
      </c>
      <c r="F11" s="23" t="inlineStr">
        <is>
          <t>Platform</t>
        </is>
      </c>
      <c r="G11" s="25" t="n">
        <v>25</v>
      </c>
      <c r="H11" s="25" t="n">
        <v>22</v>
      </c>
      <c r="I11" s="28" t="n">
        <v>0.75</v>
      </c>
      <c r="J11" s="12">
        <f>IF(OR(H11="",I11=""),"",ROUND(H11*I11,0))</f>
        <v/>
      </c>
      <c r="K11" s="23" t="inlineStr">
        <is>
          <t>Legal text</t>
        </is>
      </c>
      <c r="L11" s="23" t="inlineStr">
        <is>
          <t>High</t>
        </is>
      </c>
      <c r="M11" s="25" t="n">
        <v>16</v>
      </c>
      <c r="N11" s="29" t="n">
        <v>0.5</v>
      </c>
      <c r="O11" s="25" t="n">
        <v>4</v>
      </c>
      <c r="P11" s="12">
        <f>IF(AND(J11="",M11="",O11=""),"",N(M11)+N(J11)*N(N11)+N(O11))</f>
        <v/>
      </c>
      <c r="Q11" s="30">
        <f>IF(P11="","",P11/Lists!$C$18)</f>
        <v/>
      </c>
      <c r="R11" s="31" t="n">
        <v>85</v>
      </c>
      <c r="S11" s="14">
        <f>IF(OR(P11="",R11=""),"",P11*R11)</f>
        <v/>
      </c>
      <c r="T11" s="32" t="n"/>
      <c r="U11" s="14">
        <f>IF(AND(S11="",T11=""),"",N(S11)+N(T11))</f>
        <v/>
      </c>
      <c r="V11" s="23" t="inlineStr">
        <is>
          <t>Yes</t>
        </is>
      </c>
      <c r="W11" s="23" t="inlineStr">
        <is>
          <t>Yes</t>
        </is>
      </c>
      <c r="X11" s="23" t="inlineStr">
        <is>
          <t>No</t>
        </is>
      </c>
      <c r="Y11" s="23" t="inlineStr">
        <is>
          <t>No</t>
        </is>
      </c>
      <c r="Z11" s="22" t="n"/>
      <c r="AA11" s="25" t="n">
        <v>60</v>
      </c>
      <c r="AB11" s="23" t="inlineStr">
        <is>
          <t>Critical</t>
        </is>
      </c>
      <c r="AC11" s="23" t="inlineStr">
        <is>
          <t>Critical</t>
        </is>
      </c>
      <c r="AD11" s="23" t="inlineStr">
        <is>
          <t>Partial</t>
        </is>
      </c>
      <c r="AE11" s="23" t="inlineStr">
        <is>
          <t>Update</t>
        </is>
      </c>
      <c r="AF11" s="23" t="inlineStr">
        <is>
          <t>Cutover day</t>
        </is>
      </c>
      <c r="AG11" s="23" t="inlineStr">
        <is>
          <t>Scoping</t>
        </is>
      </c>
      <c r="AH11" s="22" t="n"/>
    </row>
    <row r="12">
      <c r="B12" s="23" t="inlineStr">
        <is>
          <t>Authentication</t>
        </is>
      </c>
      <c r="C12" s="22" t="inlineStr">
        <is>
          <t>Single sign-on settings</t>
        </is>
      </c>
      <c r="D12" s="22" t="inlineStr">
        <is>
          <t>Identity provider setup for the portal</t>
        </is>
      </c>
      <c r="E12" s="23" t="inlineStr">
        <is>
          <t>Platform engineer</t>
        </is>
      </c>
      <c r="F12" s="23" t="inlineStr">
        <is>
          <t>Identity provider</t>
        </is>
      </c>
      <c r="G12" s="25" t="n">
        <v>800</v>
      </c>
      <c r="H12" s="25" t="n">
        <v>600</v>
      </c>
      <c r="I12" s="28" t="n">
        <v>1</v>
      </c>
      <c r="J12" s="12">
        <f>IF(OR(H12="",I12=""),"",ROUND(H12*I12,0))</f>
        <v/>
      </c>
      <c r="K12" s="23" t="inlineStr">
        <is>
          <t>URL / link</t>
        </is>
      </c>
      <c r="L12" s="23" t="inlineStr">
        <is>
          <t>Critical</t>
        </is>
      </c>
      <c r="M12" s="25" t="n">
        <v>8</v>
      </c>
      <c r="N12" s="29" t="n">
        <v>1</v>
      </c>
      <c r="O12" s="25" t="n">
        <v>4</v>
      </c>
      <c r="P12" s="12">
        <f>IF(AND(J12="",M12="",O12=""),"",N(M12)+N(J12)*N(N12)+N(O12))</f>
        <v/>
      </c>
      <c r="Q12" s="30">
        <f>IF(P12="","",P12/Lists!$C$18)</f>
        <v/>
      </c>
      <c r="R12" s="31" t="n">
        <v>95</v>
      </c>
      <c r="S12" s="14">
        <f>IF(OR(P12="",R12=""),"",P12*R12)</f>
        <v/>
      </c>
      <c r="T12" s="32" t="n">
        <v>12000</v>
      </c>
      <c r="U12" s="14">
        <f>IF(AND(S12="",T12=""),"",N(S12)+N(T12))</f>
        <v/>
      </c>
      <c r="V12" s="23" t="inlineStr">
        <is>
          <t>No</t>
        </is>
      </c>
      <c r="W12" s="23" t="inlineStr">
        <is>
          <t>Yes</t>
        </is>
      </c>
      <c r="X12" s="23" t="inlineStr">
        <is>
          <t>Yes</t>
        </is>
      </c>
      <c r="Y12" s="23" t="inlineStr">
        <is>
          <t>No</t>
        </is>
      </c>
      <c r="Z12" s="22" t="n"/>
      <c r="AA12" s="25" t="n">
        <v>14</v>
      </c>
      <c r="AB12" s="23" t="inlineStr">
        <is>
          <t>High</t>
        </is>
      </c>
      <c r="AC12" s="23" t="inlineStr">
        <is>
          <t>High</t>
        </is>
      </c>
      <c r="AD12" s="23" t="inlineStr">
        <is>
          <t>No</t>
        </is>
      </c>
      <c r="AE12" s="23" t="inlineStr">
        <is>
          <t>Update</t>
        </is>
      </c>
      <c r="AF12" s="23" t="inlineStr">
        <is>
          <t>0–30 days</t>
        </is>
      </c>
      <c r="AG12" s="23" t="inlineStr">
        <is>
          <t>Scoping</t>
        </is>
      </c>
      <c r="AH12" s="22" t="n"/>
    </row>
    <row r="13">
      <c r="B13" s="23" t="inlineStr">
        <is>
          <t>Infrastructure</t>
        </is>
      </c>
      <c r="C13" s="22" t="inlineStr">
        <is>
          <t>Monitoring checks</t>
        </is>
      </c>
      <c r="D13" s="22" t="inlineStr">
        <is>
          <t>Uptime and synthetic checks on portal pages</t>
        </is>
      </c>
      <c r="E13" s="23" t="inlineStr">
        <is>
          <t>SRE lead</t>
        </is>
      </c>
      <c r="F13" s="23" t="inlineStr">
        <is>
          <t>Monitoring tool</t>
        </is>
      </c>
      <c r="G13" s="25" t="n">
        <v>250</v>
      </c>
      <c r="H13" s="25" t="n">
        <v>188</v>
      </c>
      <c r="I13" s="28" t="n">
        <v>1</v>
      </c>
      <c r="J13" s="12">
        <f>IF(OR(H13="",I13=""),"",ROUND(H13*I13,0))</f>
        <v/>
      </c>
      <c r="K13" s="23" t="inlineStr">
        <is>
          <t>Full rebuild</t>
        </is>
      </c>
      <c r="L13" s="23" t="inlineStr">
        <is>
          <t>High</t>
        </is>
      </c>
      <c r="M13" s="25" t="n">
        <v>16</v>
      </c>
      <c r="N13" s="29" t="n">
        <v>2</v>
      </c>
      <c r="O13" s="25" t="n">
        <v>16</v>
      </c>
      <c r="P13" s="12">
        <f>IF(AND(J13="",M13="",O13=""),"",N(M13)+N(J13)*N(N13)+N(O13))</f>
        <v/>
      </c>
      <c r="Q13" s="30">
        <f>IF(P13="","",P13/Lists!$C$18)</f>
        <v/>
      </c>
      <c r="R13" s="31" t="n">
        <v>95</v>
      </c>
      <c r="S13" s="14">
        <f>IF(OR(P13="",R13=""),"",P13*R13)</f>
        <v/>
      </c>
      <c r="T13" s="32" t="n">
        <v>5000</v>
      </c>
      <c r="U13" s="14">
        <f>IF(AND(S13="",T13=""),"",N(S13)+N(T13))</f>
        <v/>
      </c>
      <c r="V13" s="23" t="inlineStr">
        <is>
          <t>No</t>
        </is>
      </c>
      <c r="W13" s="23" t="inlineStr">
        <is>
          <t>Yes</t>
        </is>
      </c>
      <c r="X13" s="23" t="inlineStr">
        <is>
          <t>Yes</t>
        </is>
      </c>
      <c r="Y13" s="23" t="inlineStr">
        <is>
          <t>Yes</t>
        </is>
      </c>
      <c r="Z13" s="22" t="n"/>
      <c r="AA13" s="25" t="n">
        <v>5</v>
      </c>
      <c r="AB13" s="23" t="inlineStr">
        <is>
          <t>Low</t>
        </is>
      </c>
      <c r="AC13" s="23" t="inlineStr">
        <is>
          <t>High</t>
        </is>
      </c>
      <c r="AD13" s="23" t="inlineStr">
        <is>
          <t>No</t>
        </is>
      </c>
      <c r="AE13" s="23" t="inlineStr">
        <is>
          <t>Update</t>
        </is>
      </c>
      <c r="AF13" s="23" t="inlineStr">
        <is>
          <t>Cutover day</t>
        </is>
      </c>
      <c r="AG13" s="23" t="inlineStr">
        <is>
          <t>Validated</t>
        </is>
      </c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Engineering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IT &amp; Security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Network</t>
        </is>
      </c>
      <c r="C10" s="22" t="inlineStr">
        <is>
          <t>DNS records</t>
        </is>
      </c>
      <c r="D10" s="22" t="inlineStr">
        <is>
          <t>Records for the new portal and site hosts</t>
        </is>
      </c>
      <c r="E10" s="23" t="inlineStr">
        <is>
          <t>IT lead</t>
        </is>
      </c>
      <c r="F10" s="23" t="inlineStr">
        <is>
          <t>DNS provider</t>
        </is>
      </c>
      <c r="G10" s="25" t="n">
        <v>800</v>
      </c>
      <c r="H10" s="25" t="n">
        <v>480</v>
      </c>
      <c r="I10" s="28" t="n">
        <v>0.25</v>
      </c>
      <c r="J10" s="12">
        <f>IF(OR(H10="",I10=""),"",ROUND(H10*I10,0))</f>
        <v/>
      </c>
      <c r="K10" s="23" t="inlineStr">
        <is>
          <t>Technical configuration</t>
        </is>
      </c>
      <c r="L10" s="23" t="inlineStr">
        <is>
          <t>Medium</t>
        </is>
      </c>
      <c r="M10" s="25" t="n">
        <v>16</v>
      </c>
      <c r="N10" s="29" t="n">
        <v>4</v>
      </c>
      <c r="O10" s="25" t="n">
        <v>8</v>
      </c>
      <c r="P10" s="12">
        <f>IF(AND(J10="",M10="",O10=""),"",N(M10)+N(J10)*N(N10)+N(O10))</f>
        <v/>
      </c>
      <c r="Q10" s="30">
        <f>IF(P10="","",P10/Lists!$C$18)</f>
        <v/>
      </c>
      <c r="R10" s="31" t="n">
        <v>95</v>
      </c>
      <c r="S10" s="14">
        <f>IF(OR(P10="",R10=""),"",P10*R10)</f>
        <v/>
      </c>
      <c r="T10" s="32" t="n">
        <v>5000</v>
      </c>
      <c r="U10" s="14">
        <f>IF(AND(S10="",T10=""),"",N(S10)+N(T10))</f>
        <v/>
      </c>
      <c r="V10" s="23" t="inlineStr">
        <is>
          <t>No</t>
        </is>
      </c>
      <c r="W10" s="23" t="inlineStr">
        <is>
          <t>No</t>
        </is>
      </c>
      <c r="X10" s="23" t="inlineStr">
        <is>
          <t>Yes</t>
        </is>
      </c>
      <c r="Y10" s="23" t="inlineStr">
        <is>
          <t>No</t>
        </is>
      </c>
      <c r="Z10" s="22" t="inlineStr">
        <is>
          <t>Platform choice confirmed</t>
        </is>
      </c>
      <c r="AA10" s="25" t="n">
        <v>45</v>
      </c>
      <c r="AB10" s="23" t="inlineStr">
        <is>
          <t>Critical</t>
        </is>
      </c>
      <c r="AC10" s="23" t="inlineStr">
        <is>
          <t>High</t>
        </is>
      </c>
      <c r="AD10" s="23" t="inlineStr">
        <is>
          <t>No</t>
        </is>
      </c>
      <c r="AE10" s="23" t="inlineStr">
        <is>
          <t>Merge</t>
        </is>
      </c>
      <c r="AF10" s="23" t="inlineStr">
        <is>
          <t>31–90 days</t>
        </is>
      </c>
      <c r="AG10" s="23" t="inlineStr">
        <is>
          <t>Scoping</t>
        </is>
      </c>
      <c r="AH10" s="22" t="inlineStr">
        <is>
          <t>Example row: replace with your own estimate.</t>
        </is>
      </c>
    </row>
    <row r="11">
      <c r="B11" s="23" t="inlineStr">
        <is>
          <t>Security</t>
        </is>
      </c>
      <c r="C11" s="22" t="inlineStr">
        <is>
          <t>TLS certificates</t>
        </is>
      </c>
      <c r="D11" s="22" t="inlineStr">
        <is>
          <t>Certificates for the new hosts</t>
        </is>
      </c>
      <c r="E11" s="23" t="inlineStr">
        <is>
          <t>Security engineer</t>
        </is>
      </c>
      <c r="F11" s="23" t="inlineStr">
        <is>
          <t>Certificate manager</t>
        </is>
      </c>
      <c r="G11" s="25" t="n">
        <v>4</v>
      </c>
      <c r="H11" s="25" t="n">
        <v>3</v>
      </c>
      <c r="I11" s="28" t="n">
        <v>1</v>
      </c>
      <c r="J11" s="12">
        <f>IF(OR(H11="",I11=""),"",ROUND(H11*I11,0))</f>
        <v/>
      </c>
      <c r="K11" s="23" t="inlineStr">
        <is>
          <t>URL / link</t>
        </is>
      </c>
      <c r="L11" s="23" t="inlineStr">
        <is>
          <t>Critical</t>
        </is>
      </c>
      <c r="M11" s="25" t="n">
        <v>4</v>
      </c>
      <c r="N11" s="29" t="n">
        <v>1</v>
      </c>
      <c r="O11" s="25" t="n">
        <v>2</v>
      </c>
      <c r="P11" s="12">
        <f>IF(AND(J11="",M11="",O11=""),"",N(M11)+N(J11)*N(N11)+N(O11))</f>
        <v/>
      </c>
      <c r="Q11" s="30">
        <f>IF(P11="","",P11/Lists!$C$18)</f>
        <v/>
      </c>
      <c r="R11" s="31" t="n"/>
      <c r="S11" s="14">
        <f>IF(OR(P11="",R11=""),"",P11*R11)</f>
        <v/>
      </c>
      <c r="T11" s="32" t="n">
        <v>12000</v>
      </c>
      <c r="U11" s="14">
        <f>IF(AND(S11="",T11=""),"",N(S11)+N(T11))</f>
        <v/>
      </c>
      <c r="V11" s="23" t="inlineStr">
        <is>
          <t>No</t>
        </is>
      </c>
      <c r="W11" s="23" t="inlineStr">
        <is>
          <t>Yes</t>
        </is>
      </c>
      <c r="X11" s="23" t="inlineStr">
        <is>
          <t>Yes</t>
        </is>
      </c>
      <c r="Y11" s="23" t="inlineStr">
        <is>
          <t>No</t>
        </is>
      </c>
      <c r="Z11" s="22" t="n"/>
      <c r="AA11" s="25" t="n">
        <v>5</v>
      </c>
      <c r="AB11" s="23" t="inlineStr">
        <is>
          <t>Critical</t>
        </is>
      </c>
      <c r="AC11" s="23" t="inlineStr">
        <is>
          <t>Critical</t>
        </is>
      </c>
      <c r="AD11" s="23" t="inlineStr">
        <is>
          <t>Yes</t>
        </is>
      </c>
      <c r="AE11" s="23" t="inlineStr">
        <is>
          <t>Update</t>
        </is>
      </c>
      <c r="AF11" s="23" t="inlineStr">
        <is>
          <t>Cutover day</t>
        </is>
      </c>
      <c r="AG11" s="23" t="inlineStr">
        <is>
          <t>Validated</t>
        </is>
      </c>
      <c r="AH11" s="22" t="n"/>
    </row>
    <row r="12">
      <c r="B12" s="23" t="inlineStr">
        <is>
          <t>Security</t>
        </is>
      </c>
      <c r="C12" s="22" t="inlineStr">
        <is>
          <t>Allowlists</t>
        </is>
      </c>
      <c r="D12" s="22" t="inlineStr">
        <is>
          <t>Firewall and proxy rules that name portal hosts</t>
        </is>
      </c>
      <c r="E12" s="23" t="inlineStr">
        <is>
          <t>Security engineer</t>
        </is>
      </c>
      <c r="F12" s="23" t="inlineStr">
        <is>
          <t>Firewall</t>
        </is>
      </c>
      <c r="G12" s="25" t="n">
        <v>12</v>
      </c>
      <c r="H12" s="25" t="n">
        <v>12</v>
      </c>
      <c r="I12" s="28" t="n">
        <v>0.25</v>
      </c>
      <c r="J12" s="12">
        <f>IF(OR(H12="",I12=""),"",ROUND(H12*I12,0))</f>
        <v/>
      </c>
      <c r="K12" s="23" t="inlineStr">
        <is>
          <t>URL / link</t>
        </is>
      </c>
      <c r="L12" s="23" t="inlineStr">
        <is>
          <t>Critical</t>
        </is>
      </c>
      <c r="M12" s="25" t="n">
        <v>4</v>
      </c>
      <c r="N12" s="29" t="n">
        <v>2</v>
      </c>
      <c r="O12" s="25" t="n">
        <v>2</v>
      </c>
      <c r="P12" s="12">
        <f>IF(AND(J12="",M12="",O12=""),"",N(M12)+N(J12)*N(N12)+N(O12))</f>
        <v/>
      </c>
      <c r="Q12" s="30">
        <f>IF(P12="","",P12/Lists!$C$18)</f>
        <v/>
      </c>
      <c r="R12" s="31" t="n"/>
      <c r="S12" s="14">
        <f>IF(OR(P12="",R12=""),"",P12*R12)</f>
        <v/>
      </c>
      <c r="T12" s="32" t="n">
        <v>12000</v>
      </c>
      <c r="U12" s="14">
        <f>IF(AND(S12="",T12=""),"",N(S12)+N(T12))</f>
        <v/>
      </c>
      <c r="V12" s="23" t="inlineStr">
        <is>
          <t>No</t>
        </is>
      </c>
      <c r="W12" s="23" t="inlineStr">
        <is>
          <t>No</t>
        </is>
      </c>
      <c r="X12" s="23" t="inlineStr">
        <is>
          <t>Partial</t>
        </is>
      </c>
      <c r="Y12" s="23" t="inlineStr">
        <is>
          <t>No</t>
        </is>
      </c>
      <c r="Z12" s="22" t="n"/>
      <c r="AA12" s="25" t="n">
        <v>10</v>
      </c>
      <c r="AB12" s="23" t="inlineStr">
        <is>
          <t>High</t>
        </is>
      </c>
      <c r="AC12" s="23" t="inlineStr">
        <is>
          <t>Critical</t>
        </is>
      </c>
      <c r="AD12" s="23" t="inlineStr">
        <is>
          <t>Partial</t>
        </is>
      </c>
      <c r="AE12" s="23" t="inlineStr">
        <is>
          <t>Update</t>
        </is>
      </c>
      <c r="AF12" s="23" t="inlineStr">
        <is>
          <t>31–90 days</t>
        </is>
      </c>
      <c r="AG12" s="23" t="inlineStr">
        <is>
          <t>Scoping</t>
        </is>
      </c>
      <c r="AH12" s="22" t="n"/>
    </row>
    <row r="13">
      <c r="B13" s="23" t="inlineStr">
        <is>
          <t>Workplace</t>
        </is>
      </c>
      <c r="C13" s="22" t="inlineStr">
        <is>
          <t>Intranet links</t>
        </is>
      </c>
      <c r="D13" s="22" t="inlineStr">
        <is>
          <t>Intranet pages and bookmarks that point to the portal</t>
        </is>
      </c>
      <c r="E13" s="23" t="inlineStr">
        <is>
          <t>IT service desk</t>
        </is>
      </c>
      <c r="F13" s="23" t="inlineStr">
        <is>
          <t>Intranet</t>
        </is>
      </c>
      <c r="G13" s="25" t="n">
        <v>250</v>
      </c>
      <c r="H13" s="25" t="n">
        <v>150</v>
      </c>
      <c r="I13" s="28" t="n">
        <v>0.25</v>
      </c>
      <c r="J13" s="12">
        <f>IF(OR(H13="",I13=""),"",ROUND(H13*I13,0))</f>
        <v/>
      </c>
      <c r="K13" s="23" t="inlineStr">
        <is>
          <t>Legal text</t>
        </is>
      </c>
      <c r="L13" s="23" t="inlineStr">
        <is>
          <t>Critical</t>
        </is>
      </c>
      <c r="M13" s="25" t="n">
        <v>24</v>
      </c>
      <c r="N13" s="29" t="n">
        <v>4</v>
      </c>
      <c r="O13" s="25" t="n">
        <v>4</v>
      </c>
      <c r="P13" s="12">
        <f>IF(AND(J13="",M13="",O13=""),"",N(M13)+N(J13)*N(N13)+N(O13))</f>
        <v/>
      </c>
      <c r="Q13" s="30">
        <f>IF(P13="","",P13/Lists!$C$18)</f>
        <v/>
      </c>
      <c r="R13" s="31" t="n"/>
      <c r="S13" s="14">
        <f>IF(OR(P13="",R13=""),"",P13*R13)</f>
        <v/>
      </c>
      <c r="T13" s="32" t="n">
        <v>12000</v>
      </c>
      <c r="U13" s="14">
        <f>IF(AND(S13="",T13=""),"",N(S13)+N(T13))</f>
        <v/>
      </c>
      <c r="V13" s="23" t="inlineStr">
        <is>
          <t>Partial</t>
        </is>
      </c>
      <c r="W13" s="23" t="inlineStr">
        <is>
          <t>No</t>
        </is>
      </c>
      <c r="X13" s="23" t="inlineStr">
        <is>
          <t>Partial</t>
        </is>
      </c>
      <c r="Y13" s="23" t="inlineStr">
        <is>
          <t>No</t>
        </is>
      </c>
      <c r="Z13" s="22" t="n"/>
      <c r="AA13" s="25" t="n">
        <v>14</v>
      </c>
      <c r="AB13" s="23" t="inlineStr">
        <is>
          <t>Medium</t>
        </is>
      </c>
      <c r="AC13" s="23" t="inlineStr">
        <is>
          <t>Low</t>
        </is>
      </c>
      <c r="AD13" s="23" t="inlineStr">
        <is>
          <t>Partial</t>
        </is>
      </c>
      <c r="AE13" s="23" t="inlineStr">
        <is>
          <t>Update</t>
        </is>
      </c>
      <c r="AF13" s="23" t="inlineStr">
        <is>
          <t>Cutover day</t>
        </is>
      </c>
      <c r="AG13" s="23" t="inlineStr">
        <is>
          <t>Scoping</t>
        </is>
      </c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IT &amp; Security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Legal &amp; Privacy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Policies</t>
        </is>
      </c>
      <c r="C10" s="22" t="inlineStr">
        <is>
          <t>Privacy notice</t>
        </is>
      </c>
      <c r="D10" s="22" t="inlineStr">
        <is>
          <t>Notice covering the new platform and its processors</t>
        </is>
      </c>
      <c r="E10" s="23" t="inlineStr">
        <is>
          <t>Privacy counsel</t>
        </is>
      </c>
      <c r="F10" s="23" t="inlineStr">
        <is>
          <t>Website</t>
        </is>
      </c>
      <c r="G10" s="25" t="n">
        <v>250</v>
      </c>
      <c r="H10" s="25" t="n">
        <v>188</v>
      </c>
      <c r="I10" s="28" t="n">
        <v>0.5</v>
      </c>
      <c r="J10" s="12">
        <f>IF(OR(H10="",I10=""),"",ROUND(H10*I10,0))</f>
        <v/>
      </c>
      <c r="K10" s="23" t="inlineStr">
        <is>
          <t>Technical configuration</t>
        </is>
      </c>
      <c r="L10" s="23" t="inlineStr">
        <is>
          <t>Low</t>
        </is>
      </c>
      <c r="M10" s="25" t="n">
        <v>24</v>
      </c>
      <c r="N10" s="29" t="n">
        <v>4</v>
      </c>
      <c r="O10" s="25" t="n">
        <v>16</v>
      </c>
      <c r="P10" s="12">
        <f>IF(AND(J10="",M10="",O10=""),"",N(M10)+N(J10)*N(N10)+N(O10))</f>
        <v/>
      </c>
      <c r="Q10" s="30">
        <f>IF(P10="","",P10/Lists!$C$18)</f>
        <v/>
      </c>
      <c r="R10" s="31" t="n">
        <v>95</v>
      </c>
      <c r="S10" s="14">
        <f>IF(OR(P10="",R10=""),"",P10*R10)</f>
        <v/>
      </c>
      <c r="T10" s="32" t="n">
        <v>12000</v>
      </c>
      <c r="U10" s="14">
        <f>IF(AND(S10="",T10=""),"",N(S10)+N(T10))</f>
        <v/>
      </c>
      <c r="V10" s="23" t="inlineStr">
        <is>
          <t>Partial</t>
        </is>
      </c>
      <c r="W10" s="23" t="inlineStr">
        <is>
          <t>Yes</t>
        </is>
      </c>
      <c r="X10" s="23" t="inlineStr">
        <is>
          <t>Yes</t>
        </is>
      </c>
      <c r="Y10" s="23" t="inlineStr">
        <is>
          <t>No</t>
        </is>
      </c>
      <c r="Z10" s="22" t="inlineStr">
        <is>
          <t>Platform choice confirmed</t>
        </is>
      </c>
      <c r="AA10" s="25" t="n">
        <v>45</v>
      </c>
      <c r="AB10" s="23" t="inlineStr">
        <is>
          <t>Critical</t>
        </is>
      </c>
      <c r="AC10" s="23" t="inlineStr">
        <is>
          <t>Medium</t>
        </is>
      </c>
      <c r="AD10" s="23" t="inlineStr">
        <is>
          <t>Partial</t>
        </is>
      </c>
      <c r="AE10" s="23" t="inlineStr">
        <is>
          <t>Update</t>
        </is>
      </c>
      <c r="AF10" s="23" t="inlineStr">
        <is>
          <t>Before cutover</t>
        </is>
      </c>
      <c r="AG10" s="23" t="inlineStr">
        <is>
          <t>Validated</t>
        </is>
      </c>
      <c r="AH10" s="22" t="inlineStr">
        <is>
          <t>Example row: replace with your own estimate.</t>
        </is>
      </c>
    </row>
    <row r="11">
      <c r="B11" s="23" t="inlineStr">
        <is>
          <t>Policies</t>
        </is>
      </c>
      <c r="C11" s="22" t="inlineStr">
        <is>
          <t>Cookie consent</t>
        </is>
      </c>
      <c r="D11" s="22" t="inlineStr">
        <is>
          <t>Consent tool set-up on the new site</t>
        </is>
      </c>
      <c r="E11" s="23" t="inlineStr">
        <is>
          <t>Privacy counsel</t>
        </is>
      </c>
      <c r="F11" s="23" t="inlineStr">
        <is>
          <t>Consent platform</t>
        </is>
      </c>
      <c r="G11" s="25" t="n">
        <v>12</v>
      </c>
      <c r="H11" s="25" t="n">
        <v>7</v>
      </c>
      <c r="I11" s="28" t="n">
        <v>0.75</v>
      </c>
      <c r="J11" s="12">
        <f>IF(OR(H11="",I11=""),"",ROUND(H11*I11,0))</f>
        <v/>
      </c>
      <c r="K11" s="23" t="inlineStr">
        <is>
          <t>Technical configuration</t>
        </is>
      </c>
      <c r="L11" s="23" t="inlineStr">
        <is>
          <t>Medium</t>
        </is>
      </c>
      <c r="M11" s="25" t="n">
        <v>16</v>
      </c>
      <c r="N11" s="29" t="n">
        <v>0.5</v>
      </c>
      <c r="O11" s="25" t="n">
        <v>8</v>
      </c>
      <c r="P11" s="12">
        <f>IF(AND(J11="",M11="",O11=""),"",N(M11)+N(J11)*N(N11)+N(O11))</f>
        <v/>
      </c>
      <c r="Q11" s="30">
        <f>IF(P11="","",P11/Lists!$C$18)</f>
        <v/>
      </c>
      <c r="R11" s="31" t="n">
        <v>85</v>
      </c>
      <c r="S11" s="14">
        <f>IF(OR(P11="",R11=""),"",P11*R11)</f>
        <v/>
      </c>
      <c r="T11" s="32" t="n"/>
      <c r="U11" s="14">
        <f>IF(AND(S11="",T11=""),"",N(S11)+N(T11))</f>
        <v/>
      </c>
      <c r="V11" s="23" t="inlineStr">
        <is>
          <t>Partial</t>
        </is>
      </c>
      <c r="W11" s="23" t="inlineStr">
        <is>
          <t>No</t>
        </is>
      </c>
      <c r="X11" s="23" t="inlineStr">
        <is>
          <t>Yes</t>
        </is>
      </c>
      <c r="Y11" s="23" t="inlineStr">
        <is>
          <t>Yes</t>
        </is>
      </c>
      <c r="Z11" s="22" t="n"/>
      <c r="AA11" s="25" t="n">
        <v>14</v>
      </c>
      <c r="AB11" s="23" t="inlineStr">
        <is>
          <t>Medium</t>
        </is>
      </c>
      <c r="AC11" s="23" t="inlineStr">
        <is>
          <t>Low</t>
        </is>
      </c>
      <c r="AD11" s="23" t="inlineStr">
        <is>
          <t>No</t>
        </is>
      </c>
      <c r="AE11" s="23" t="inlineStr">
        <is>
          <t>Redirect</t>
        </is>
      </c>
      <c r="AF11" s="23" t="inlineStr">
        <is>
          <t>Before cutover</t>
        </is>
      </c>
      <c r="AG11" s="23" t="inlineStr">
        <is>
          <t>Validated</t>
        </is>
      </c>
      <c r="AH11" s="22" t="n"/>
    </row>
    <row r="12">
      <c r="B12" s="23" t="inlineStr">
        <is>
          <t>Contracts</t>
        </is>
      </c>
      <c r="C12" s="22" t="inlineStr">
        <is>
          <t>Order form links</t>
        </is>
      </c>
      <c r="D12" s="22" t="inlineStr">
        <is>
          <t>Order forms that point to online terms</t>
        </is>
      </c>
      <c r="E12" s="23" t="inlineStr">
        <is>
          <t>Commercial counsel</t>
        </is>
      </c>
      <c r="F12" s="23" t="inlineStr">
        <is>
          <t>Contract system</t>
        </is>
      </c>
      <c r="G12" s="25" t="n">
        <v>250</v>
      </c>
      <c r="H12" s="25" t="n">
        <v>225</v>
      </c>
      <c r="I12" s="28" t="n">
        <v>0.75</v>
      </c>
      <c r="J12" s="12">
        <f>IF(OR(H12="",I12=""),"",ROUND(H12*I12,0))</f>
        <v/>
      </c>
      <c r="K12" s="23" t="inlineStr">
        <is>
          <t>Legal text</t>
        </is>
      </c>
      <c r="L12" s="23" t="inlineStr">
        <is>
          <t>Critical</t>
        </is>
      </c>
      <c r="M12" s="25" t="n">
        <v>16</v>
      </c>
      <c r="N12" s="29" t="n">
        <v>1</v>
      </c>
      <c r="O12" s="25" t="n">
        <v>16</v>
      </c>
      <c r="P12" s="12">
        <f>IF(AND(J12="",M12="",O12=""),"",N(M12)+N(J12)*N(N12)+N(O12))</f>
        <v/>
      </c>
      <c r="Q12" s="30">
        <f>IF(P12="","",P12/Lists!$C$18)</f>
        <v/>
      </c>
      <c r="R12" s="31" t="n"/>
      <c r="S12" s="14">
        <f>IF(OR(P12="",R12=""),"",P12*R12)</f>
        <v/>
      </c>
      <c r="T12" s="32" t="n"/>
      <c r="U12" s="14">
        <f>IF(AND(S12="",T12=""),"",N(S12)+N(T12))</f>
        <v/>
      </c>
      <c r="V12" s="23" t="inlineStr">
        <is>
          <t>Partial</t>
        </is>
      </c>
      <c r="W12" s="23" t="inlineStr">
        <is>
          <t>No</t>
        </is>
      </c>
      <c r="X12" s="23" t="inlineStr">
        <is>
          <t>Partial</t>
        </is>
      </c>
      <c r="Y12" s="23" t="inlineStr">
        <is>
          <t>No</t>
        </is>
      </c>
      <c r="Z12" s="22" t="n"/>
      <c r="AA12" s="25" t="n">
        <v>14</v>
      </c>
      <c r="AB12" s="23" t="inlineStr">
        <is>
          <t>Low</t>
        </is>
      </c>
      <c r="AC12" s="23" t="inlineStr">
        <is>
          <t>High</t>
        </is>
      </c>
      <c r="AD12" s="23" t="inlineStr">
        <is>
          <t>Partial</t>
        </is>
      </c>
      <c r="AE12" s="23" t="inlineStr">
        <is>
          <t>Merge</t>
        </is>
      </c>
      <c r="AF12" s="23" t="inlineStr">
        <is>
          <t>Cutover day</t>
        </is>
      </c>
      <c r="AG12" s="23" t="inlineStr">
        <is>
          <t>Validated</t>
        </is>
      </c>
      <c r="AH12" s="22" t="n"/>
    </row>
    <row r="13">
      <c r="B13" s="23" t="inlineStr">
        <is>
          <t>Vendors</t>
        </is>
      </c>
      <c r="C13" s="22" t="inlineStr">
        <is>
          <t>Data processing agreements</t>
        </is>
      </c>
      <c r="D13" s="22" t="inlineStr">
        <is>
          <t>Agreement updates for the new hosting vendor</t>
        </is>
      </c>
      <c r="E13" s="23" t="inlineStr">
        <is>
          <t>Privacy counsel</t>
        </is>
      </c>
      <c r="F13" s="23" t="inlineStr">
        <is>
          <t>Contract system</t>
        </is>
      </c>
      <c r="G13" s="25" t="n">
        <v>25</v>
      </c>
      <c r="H13" s="25" t="n">
        <v>19</v>
      </c>
      <c r="I13" s="28" t="n">
        <v>0.75</v>
      </c>
      <c r="J13" s="12">
        <f>IF(OR(H13="",I13=""),"",ROUND(H13*I13,0))</f>
        <v/>
      </c>
      <c r="K13" s="23" t="inlineStr">
        <is>
          <t>URL / link</t>
        </is>
      </c>
      <c r="L13" s="23" t="inlineStr">
        <is>
          <t>Medium</t>
        </is>
      </c>
      <c r="M13" s="25" t="n">
        <v>8</v>
      </c>
      <c r="N13" s="29" t="n">
        <v>4</v>
      </c>
      <c r="O13" s="25" t="n">
        <v>8</v>
      </c>
      <c r="P13" s="12">
        <f>IF(AND(J13="",M13="",O13=""),"",N(M13)+N(J13)*N(N13)+N(O13))</f>
        <v/>
      </c>
      <c r="Q13" s="30">
        <f>IF(P13="","",P13/Lists!$C$18)</f>
        <v/>
      </c>
      <c r="R13" s="31" t="n">
        <v>85</v>
      </c>
      <c r="S13" s="14">
        <f>IF(OR(P13="",R13=""),"",P13*R13)</f>
        <v/>
      </c>
      <c r="T13" s="32" t="n"/>
      <c r="U13" s="14">
        <f>IF(AND(S13="",T13=""),"",N(S13)+N(T13))</f>
        <v/>
      </c>
      <c r="V13" s="23" t="inlineStr">
        <is>
          <t>No</t>
        </is>
      </c>
      <c r="W13" s="23" t="inlineStr">
        <is>
          <t>No</t>
        </is>
      </c>
      <c r="X13" s="23" t="inlineStr">
        <is>
          <t>Yes</t>
        </is>
      </c>
      <c r="Y13" s="23" t="inlineStr">
        <is>
          <t>Yes</t>
        </is>
      </c>
      <c r="Z13" s="22" t="n"/>
      <c r="AA13" s="25" t="n">
        <v>10</v>
      </c>
      <c r="AB13" s="23" t="inlineStr">
        <is>
          <t>Critical</t>
        </is>
      </c>
      <c r="AC13" s="23" t="inlineStr">
        <is>
          <t>Medium</t>
        </is>
      </c>
      <c r="AD13" s="23" t="inlineStr">
        <is>
          <t>No</t>
        </is>
      </c>
      <c r="AE13" s="23" t="inlineStr">
        <is>
          <t>Update</t>
        </is>
      </c>
      <c r="AF13" s="23" t="inlineStr">
        <is>
          <t>Before cutover</t>
        </is>
      </c>
      <c r="AG13" s="23" t="inlineStr">
        <is>
          <t>Validated</t>
        </is>
      </c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Legal &amp; Privacy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Sales Enablement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Templates</t>
        </is>
      </c>
      <c r="C10" s="22" t="inlineStr">
        <is>
          <t>Proposal templates</t>
        </is>
      </c>
      <c r="D10" s="22" t="inlineStr">
        <is>
          <t>Proposals with portal screenshots and links</t>
        </is>
      </c>
      <c r="E10" s="23" t="inlineStr">
        <is>
          <t>Enablement lead</t>
        </is>
      </c>
      <c r="F10" s="23" t="inlineStr">
        <is>
          <t>Content hub</t>
        </is>
      </c>
      <c r="G10" s="25" t="n">
        <v>12</v>
      </c>
      <c r="H10" s="25" t="n">
        <v>7</v>
      </c>
      <c r="I10" s="28" t="n">
        <v>0.5</v>
      </c>
      <c r="J10" s="12">
        <f>IF(OR(H10="",I10=""),"",ROUND(H10*I10,0))</f>
        <v/>
      </c>
      <c r="K10" s="23" t="inlineStr">
        <is>
          <t>Multiple changes</t>
        </is>
      </c>
      <c r="L10" s="23" t="inlineStr">
        <is>
          <t>High</t>
        </is>
      </c>
      <c r="M10" s="25" t="n">
        <v>24</v>
      </c>
      <c r="N10" s="29" t="n">
        <v>1</v>
      </c>
      <c r="O10" s="25" t="n">
        <v>4</v>
      </c>
      <c r="P10" s="12">
        <f>IF(AND(J10="",M10="",O10=""),"",N(M10)+N(J10)*N(N10)+N(O10))</f>
        <v/>
      </c>
      <c r="Q10" s="30">
        <f>IF(P10="","",P10/Lists!$C$18)</f>
        <v/>
      </c>
      <c r="R10" s="31" t="n">
        <v>95</v>
      </c>
      <c r="S10" s="14">
        <f>IF(OR(P10="",R10=""),"",P10*R10)</f>
        <v/>
      </c>
      <c r="T10" s="32" t="n">
        <v>30000</v>
      </c>
      <c r="U10" s="14">
        <f>IF(AND(S10="",T10=""),"",N(S10)+N(T10))</f>
        <v/>
      </c>
      <c r="V10" s="23" t="inlineStr">
        <is>
          <t>No</t>
        </is>
      </c>
      <c r="W10" s="23" t="inlineStr">
        <is>
          <t>No</t>
        </is>
      </c>
      <c r="X10" s="23" t="inlineStr">
        <is>
          <t>Partial</t>
        </is>
      </c>
      <c r="Y10" s="23" t="inlineStr">
        <is>
          <t>Yes</t>
        </is>
      </c>
      <c r="Z10" s="22" t="inlineStr">
        <is>
          <t>Platform choice confirmed</t>
        </is>
      </c>
      <c r="AA10" s="25" t="n">
        <v>14</v>
      </c>
      <c r="AB10" s="23" t="inlineStr">
        <is>
          <t>Low</t>
        </is>
      </c>
      <c r="AC10" s="23" t="inlineStr">
        <is>
          <t>Medium</t>
        </is>
      </c>
      <c r="AD10" s="23" t="inlineStr">
        <is>
          <t>No</t>
        </is>
      </c>
      <c r="AE10" s="23" t="inlineStr">
        <is>
          <t>Merge</t>
        </is>
      </c>
      <c r="AF10" s="23" t="inlineStr">
        <is>
          <t>Cutover day</t>
        </is>
      </c>
      <c r="AG10" s="23" t="inlineStr">
        <is>
          <t>Validated</t>
        </is>
      </c>
      <c r="AH10" s="22" t="inlineStr">
        <is>
          <t>Example row: replace with your own estimate.</t>
        </is>
      </c>
    </row>
    <row r="11">
      <c r="B11" s="23" t="inlineStr">
        <is>
          <t>Training</t>
        </is>
      </c>
      <c r="C11" s="22" t="inlineStr">
        <is>
          <t>Sales training modules</t>
        </is>
      </c>
      <c r="D11" s="22" t="inlineStr">
        <is>
          <t>Courses that demo the portal</t>
        </is>
      </c>
      <c r="E11" s="23" t="inlineStr">
        <is>
          <t>Enablement lead</t>
        </is>
      </c>
      <c r="F11" s="23" t="inlineStr">
        <is>
          <t>Learning platform</t>
        </is>
      </c>
      <c r="G11" s="25" t="n">
        <v>60</v>
      </c>
      <c r="H11" s="25" t="n">
        <v>54</v>
      </c>
      <c r="I11" s="28" t="n">
        <v>0.75</v>
      </c>
      <c r="J11" s="12">
        <f>IF(OR(H11="",I11=""),"",ROUND(H11*I11,0))</f>
        <v/>
      </c>
      <c r="K11" s="23" t="inlineStr">
        <is>
          <t>Multiple changes</t>
        </is>
      </c>
      <c r="L11" s="23" t="inlineStr">
        <is>
          <t>Critical</t>
        </is>
      </c>
      <c r="M11" s="25" t="n">
        <v>24</v>
      </c>
      <c r="N11" s="29" t="n">
        <v>4</v>
      </c>
      <c r="O11" s="25" t="n">
        <v>4</v>
      </c>
      <c r="P11" s="12">
        <f>IF(AND(J11="",M11="",O11=""),"",N(M11)+N(J11)*N(N11)+N(O11))</f>
        <v/>
      </c>
      <c r="Q11" s="30">
        <f>IF(P11="","",P11/Lists!$C$18)</f>
        <v/>
      </c>
      <c r="R11" s="31" t="n">
        <v>85</v>
      </c>
      <c r="S11" s="14">
        <f>IF(OR(P11="",R11=""),"",P11*R11)</f>
        <v/>
      </c>
      <c r="T11" s="32" t="n">
        <v>12000</v>
      </c>
      <c r="U11" s="14">
        <f>IF(AND(S11="",T11=""),"",N(S11)+N(T11))</f>
        <v/>
      </c>
      <c r="V11" s="23" t="inlineStr">
        <is>
          <t>No</t>
        </is>
      </c>
      <c r="W11" s="23" t="inlineStr">
        <is>
          <t>No</t>
        </is>
      </c>
      <c r="X11" s="23" t="inlineStr">
        <is>
          <t>Yes</t>
        </is>
      </c>
      <c r="Y11" s="23" t="inlineStr">
        <is>
          <t>No</t>
        </is>
      </c>
      <c r="Z11" s="22" t="n"/>
      <c r="AA11" s="25" t="n">
        <v>10</v>
      </c>
      <c r="AB11" s="23" t="inlineStr">
        <is>
          <t>Critical</t>
        </is>
      </c>
      <c r="AC11" s="23" t="inlineStr">
        <is>
          <t>Critical</t>
        </is>
      </c>
      <c r="AD11" s="23" t="inlineStr">
        <is>
          <t>Partial</t>
        </is>
      </c>
      <c r="AE11" s="23" t="inlineStr">
        <is>
          <t>Merge</t>
        </is>
      </c>
      <c r="AF11" s="23" t="inlineStr">
        <is>
          <t>31–90 days</t>
        </is>
      </c>
      <c r="AG11" s="23" t="inlineStr">
        <is>
          <t>Scoping</t>
        </is>
      </c>
      <c r="AH11" s="22" t="n"/>
    </row>
    <row r="12">
      <c r="B12" s="23" t="inlineStr">
        <is>
          <t>Collateral</t>
        </is>
      </c>
      <c r="C12" s="22" t="inlineStr">
        <is>
          <t>Product one-pagers</t>
        </is>
      </c>
      <c r="D12" s="22" t="inlineStr">
        <is>
          <t>Sell sheets with URLs and QR codes</t>
        </is>
      </c>
      <c r="E12" s="23" t="inlineStr">
        <is>
          <t>Enablement lead</t>
        </is>
      </c>
      <c r="F12" s="23" t="inlineStr">
        <is>
          <t>Content hub</t>
        </is>
      </c>
      <c r="G12" s="25" t="n">
        <v>4</v>
      </c>
      <c r="H12" s="25" t="n">
        <v>4</v>
      </c>
      <c r="I12" s="28" t="n">
        <v>0.25</v>
      </c>
      <c r="J12" s="12">
        <f>IF(OR(H12="",I12=""),"",ROUND(H12*I12,0))</f>
        <v/>
      </c>
      <c r="K12" s="23" t="inlineStr">
        <is>
          <t>Content update</t>
        </is>
      </c>
      <c r="L12" s="23" t="inlineStr">
        <is>
          <t>Low</t>
        </is>
      </c>
      <c r="M12" s="25" t="n">
        <v>4</v>
      </c>
      <c r="N12" s="29" t="n">
        <v>0.5</v>
      </c>
      <c r="O12" s="25" t="n">
        <v>4</v>
      </c>
      <c r="P12" s="12">
        <f>IF(AND(J12="",M12="",O12=""),"",N(M12)+N(J12)*N(N12)+N(O12))</f>
        <v/>
      </c>
      <c r="Q12" s="30">
        <f>IF(P12="","",P12/Lists!$C$18)</f>
        <v/>
      </c>
      <c r="R12" s="31" t="n">
        <v>95</v>
      </c>
      <c r="S12" s="14">
        <f>IF(OR(P12="",R12=""),"",P12*R12)</f>
        <v/>
      </c>
      <c r="T12" s="32" t="n">
        <v>30000</v>
      </c>
      <c r="U12" s="14">
        <f>IF(AND(S12="",T12=""),"",N(S12)+N(T12))</f>
        <v/>
      </c>
      <c r="V12" s="23" t="inlineStr">
        <is>
          <t>No</t>
        </is>
      </c>
      <c r="W12" s="23" t="inlineStr">
        <is>
          <t>Yes</t>
        </is>
      </c>
      <c r="X12" s="23" t="inlineStr">
        <is>
          <t>Yes</t>
        </is>
      </c>
      <c r="Y12" s="23" t="inlineStr">
        <is>
          <t>No</t>
        </is>
      </c>
      <c r="Z12" s="22" t="n"/>
      <c r="AA12" s="25" t="n">
        <v>45</v>
      </c>
      <c r="AB12" s="23" t="inlineStr">
        <is>
          <t>Medium</t>
        </is>
      </c>
      <c r="AC12" s="23" t="inlineStr">
        <is>
          <t>Low</t>
        </is>
      </c>
      <c r="AD12" s="23" t="inlineStr">
        <is>
          <t>Yes</t>
        </is>
      </c>
      <c r="AE12" s="23" t="inlineStr">
        <is>
          <t>Redirect</t>
        </is>
      </c>
      <c r="AF12" s="23" t="inlineStr">
        <is>
          <t>Before cutover</t>
        </is>
      </c>
      <c r="AG12" s="23" t="inlineStr">
        <is>
          <t>Not started</t>
        </is>
      </c>
      <c r="AH12" s="22" t="n"/>
    </row>
    <row r="13">
      <c r="B13" s="23" t="n"/>
      <c r="C13" s="22" t="n"/>
      <c r="D13" s="22" t="n"/>
      <c r="E13" s="23" t="n"/>
      <c r="F13" s="23" t="n"/>
      <c r="G13" s="25" t="n"/>
      <c r="H13" s="25" t="n"/>
      <c r="I13" s="28" t="n"/>
      <c r="J13" s="12">
        <f>IF(OR(H13="",I13=""),"",ROUND(H13*I13,0))</f>
        <v/>
      </c>
      <c r="K13" s="23" t="n"/>
      <c r="L13" s="23" t="n"/>
      <c r="M13" s="25" t="n"/>
      <c r="N13" s="29" t="n"/>
      <c r="O13" s="25" t="n"/>
      <c r="P13" s="12">
        <f>IF(AND(J13="",M13="",O13=""),"",N(M13)+N(J13)*N(N13)+N(O13))</f>
        <v/>
      </c>
      <c r="Q13" s="30">
        <f>IF(P13="","",P13/Lists!$C$18)</f>
        <v/>
      </c>
      <c r="R13" s="31" t="n"/>
      <c r="S13" s="14">
        <f>IF(OR(P13="",R13=""),"",P13*R13)</f>
        <v/>
      </c>
      <c r="T13" s="32" t="n"/>
      <c r="U13" s="14">
        <f>IF(AND(S13="",T13=""),"",N(S13)+N(T13))</f>
        <v/>
      </c>
      <c r="V13" s="23" t="n"/>
      <c r="W13" s="23" t="n"/>
      <c r="X13" s="23" t="n"/>
      <c r="Y13" s="23" t="n"/>
      <c r="Z13" s="22" t="n"/>
      <c r="AA13" s="25" t="n"/>
      <c r="AB13" s="23" t="n"/>
      <c r="AC13" s="23" t="n"/>
      <c r="AD13" s="23" t="n"/>
      <c r="AE13" s="23" t="n"/>
      <c r="AF13" s="23" t="n"/>
      <c r="AG13" s="23" t="n"/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Sales Enablement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Sales &amp; RevOps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CRM</t>
        </is>
      </c>
      <c r="C10" s="22" t="inlineStr">
        <is>
          <t>Email sequences</t>
        </is>
      </c>
      <c r="D10" s="22" t="inlineStr">
        <is>
          <t>Sales sequences with portal links</t>
        </is>
      </c>
      <c r="E10" s="23" t="inlineStr">
        <is>
          <t>RevOps manager</t>
        </is>
      </c>
      <c r="F10" s="23" t="inlineStr">
        <is>
          <t>CRM</t>
        </is>
      </c>
      <c r="G10" s="25" t="n">
        <v>120</v>
      </c>
      <c r="H10" s="25" t="n">
        <v>120</v>
      </c>
      <c r="I10" s="28" t="n">
        <v>1</v>
      </c>
      <c r="J10" s="12">
        <f>IF(OR(H10="",I10=""),"",ROUND(H10*I10,0))</f>
        <v/>
      </c>
      <c r="K10" s="23" t="inlineStr">
        <is>
          <t>URL / link</t>
        </is>
      </c>
      <c r="L10" s="23" t="inlineStr">
        <is>
          <t>Medium</t>
        </is>
      </c>
      <c r="M10" s="25" t="n">
        <v>16</v>
      </c>
      <c r="N10" s="29" t="n">
        <v>1</v>
      </c>
      <c r="O10" s="25" t="n">
        <v>8</v>
      </c>
      <c r="P10" s="12">
        <f>IF(AND(J10="",M10="",O10=""),"",N(M10)+N(J10)*N(N10)+N(O10))</f>
        <v/>
      </c>
      <c r="Q10" s="30">
        <f>IF(P10="","",P10/Lists!$C$18)</f>
        <v/>
      </c>
      <c r="R10" s="31" t="n">
        <v>95</v>
      </c>
      <c r="S10" s="14">
        <f>IF(OR(P10="",R10=""),"",P10*R10)</f>
        <v/>
      </c>
      <c r="T10" s="32" t="n">
        <v>5000</v>
      </c>
      <c r="U10" s="14">
        <f>IF(AND(S10="",T10=""),"",N(S10)+N(T10))</f>
        <v/>
      </c>
      <c r="V10" s="23" t="inlineStr">
        <is>
          <t>Partial</t>
        </is>
      </c>
      <c r="W10" s="23" t="inlineStr">
        <is>
          <t>Yes</t>
        </is>
      </c>
      <c r="X10" s="23" t="inlineStr">
        <is>
          <t>No</t>
        </is>
      </c>
      <c r="Y10" s="23" t="inlineStr">
        <is>
          <t>Yes</t>
        </is>
      </c>
      <c r="Z10" s="22" t="inlineStr">
        <is>
          <t>Platform choice confirmed</t>
        </is>
      </c>
      <c r="AA10" s="25" t="n">
        <v>45</v>
      </c>
      <c r="AB10" s="23" t="inlineStr">
        <is>
          <t>Low</t>
        </is>
      </c>
      <c r="AC10" s="23" t="inlineStr">
        <is>
          <t>Medium</t>
        </is>
      </c>
      <c r="AD10" s="23" t="inlineStr">
        <is>
          <t>Partial</t>
        </is>
      </c>
      <c r="AE10" s="23" t="inlineStr">
        <is>
          <t>Update</t>
        </is>
      </c>
      <c r="AF10" s="23" t="inlineStr">
        <is>
          <t>31–90 days</t>
        </is>
      </c>
      <c r="AG10" s="23" t="inlineStr">
        <is>
          <t>Scoping</t>
        </is>
      </c>
      <c r="AH10" s="22" t="inlineStr">
        <is>
          <t>Example row: replace with your own estimate.</t>
        </is>
      </c>
    </row>
    <row r="11">
      <c r="B11" s="23" t="inlineStr">
        <is>
          <t>CRM</t>
        </is>
      </c>
      <c r="C11" s="22" t="inlineStr">
        <is>
          <t>Quote templates</t>
        </is>
      </c>
      <c r="D11" s="22" t="inlineStr">
        <is>
          <t>Quotes with links to online terms</t>
        </is>
      </c>
      <c r="E11" s="23" t="inlineStr">
        <is>
          <t>RevOps manager</t>
        </is>
      </c>
      <c r="F11" s="23" t="inlineStr">
        <is>
          <t>Quoting tool</t>
        </is>
      </c>
      <c r="G11" s="25" t="n">
        <v>40</v>
      </c>
      <c r="H11" s="25" t="n">
        <v>36</v>
      </c>
      <c r="I11" s="28" t="n">
        <v>0.5</v>
      </c>
      <c r="J11" s="12">
        <f>IF(OR(H11="",I11=""),"",ROUND(H11*I11,0))</f>
        <v/>
      </c>
      <c r="K11" s="23" t="inlineStr">
        <is>
          <t>Visual update</t>
        </is>
      </c>
      <c r="L11" s="23" t="inlineStr">
        <is>
          <t>Medium</t>
        </is>
      </c>
      <c r="M11" s="25" t="n">
        <v>8</v>
      </c>
      <c r="N11" s="29" t="n">
        <v>2</v>
      </c>
      <c r="O11" s="25" t="n">
        <v>2</v>
      </c>
      <c r="P11" s="12">
        <f>IF(AND(J11="",M11="",O11=""),"",N(M11)+N(J11)*N(N11)+N(O11))</f>
        <v/>
      </c>
      <c r="Q11" s="30">
        <f>IF(P11="","",P11/Lists!$C$18)</f>
        <v/>
      </c>
      <c r="R11" s="31" t="n">
        <v>85</v>
      </c>
      <c r="S11" s="14">
        <f>IF(OR(P11="",R11=""),"",P11*R11)</f>
        <v/>
      </c>
      <c r="T11" s="32" t="n"/>
      <c r="U11" s="14">
        <f>IF(AND(S11="",T11=""),"",N(S11)+N(T11))</f>
        <v/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2" t="n"/>
      <c r="AA11" s="25" t="n">
        <v>60</v>
      </c>
      <c r="AB11" s="23" t="inlineStr">
        <is>
          <t>Medium</t>
        </is>
      </c>
      <c r="AC11" s="23" t="inlineStr">
        <is>
          <t>Medium</t>
        </is>
      </c>
      <c r="AD11" s="23" t="inlineStr">
        <is>
          <t>Yes</t>
        </is>
      </c>
      <c r="AE11" s="23" t="inlineStr">
        <is>
          <t>Retire</t>
        </is>
      </c>
      <c r="AF11" s="23" t="inlineStr">
        <is>
          <t>0–30 days</t>
        </is>
      </c>
      <c r="AG11" s="23" t="inlineStr">
        <is>
          <t>Not started</t>
        </is>
      </c>
      <c r="AH11" s="22" t="n"/>
    </row>
    <row r="12">
      <c r="B12" s="23" t="inlineStr">
        <is>
          <t>Reporting</t>
        </is>
      </c>
      <c r="C12" s="22" t="inlineStr">
        <is>
          <t>Pipeline dashboards</t>
        </is>
      </c>
      <c r="D12" s="22" t="inlineStr">
        <is>
          <t>Dashboards that track portal sign-ups</t>
        </is>
      </c>
      <c r="E12" s="23" t="inlineStr">
        <is>
          <t>RevOps analyst</t>
        </is>
      </c>
      <c r="F12" s="23" t="inlineStr">
        <is>
          <t>BI tool</t>
        </is>
      </c>
      <c r="G12" s="25" t="n">
        <v>800</v>
      </c>
      <c r="H12" s="25" t="n">
        <v>800</v>
      </c>
      <c r="I12" s="28" t="n">
        <v>0.75</v>
      </c>
      <c r="J12" s="12">
        <f>IF(OR(H12="",I12=""),"",ROUND(H12*I12,0))</f>
        <v/>
      </c>
      <c r="K12" s="23" t="inlineStr">
        <is>
          <t>Full rebuild</t>
        </is>
      </c>
      <c r="L12" s="23" t="inlineStr">
        <is>
          <t>Critical</t>
        </is>
      </c>
      <c r="M12" s="25" t="n">
        <v>16</v>
      </c>
      <c r="N12" s="29" t="n">
        <v>2</v>
      </c>
      <c r="O12" s="25" t="n">
        <v>16</v>
      </c>
      <c r="P12" s="12">
        <f>IF(AND(J12="",M12="",O12=""),"",N(M12)+N(J12)*N(N12)+N(O12))</f>
        <v/>
      </c>
      <c r="Q12" s="30">
        <f>IF(P12="","",P12/Lists!$C$18)</f>
        <v/>
      </c>
      <c r="R12" s="31" t="n"/>
      <c r="S12" s="14">
        <f>IF(OR(P12="",R12=""),"",P12*R12)</f>
        <v/>
      </c>
      <c r="T12" s="32" t="n">
        <v>30000</v>
      </c>
      <c r="U12" s="14">
        <f>IF(AND(S12="",T12=""),"",N(S12)+N(T12))</f>
        <v/>
      </c>
      <c r="V12" s="23" t="inlineStr">
        <is>
          <t>No</t>
        </is>
      </c>
      <c r="W12" s="23" t="inlineStr">
        <is>
          <t>No</t>
        </is>
      </c>
      <c r="X12" s="23" t="inlineStr">
        <is>
          <t>Yes</t>
        </is>
      </c>
      <c r="Y12" s="23" t="inlineStr">
        <is>
          <t>No</t>
        </is>
      </c>
      <c r="Z12" s="22" t="n"/>
      <c r="AA12" s="25" t="n">
        <v>45</v>
      </c>
      <c r="AB12" s="23" t="inlineStr">
        <is>
          <t>High</t>
        </is>
      </c>
      <c r="AC12" s="23" t="inlineStr">
        <is>
          <t>Critical</t>
        </is>
      </c>
      <c r="AD12" s="23" t="inlineStr">
        <is>
          <t>Yes</t>
        </is>
      </c>
      <c r="AE12" s="23" t="inlineStr">
        <is>
          <t>Redirect</t>
        </is>
      </c>
      <c r="AF12" s="23" t="inlineStr">
        <is>
          <t>Before cutover</t>
        </is>
      </c>
      <c r="AG12" s="23" t="inlineStr">
        <is>
          <t>Not started</t>
        </is>
      </c>
      <c r="AH12" s="22" t="n"/>
    </row>
    <row r="13">
      <c r="B13" s="23" t="n"/>
      <c r="C13" s="22" t="n"/>
      <c r="D13" s="22" t="n"/>
      <c r="E13" s="23" t="n"/>
      <c r="F13" s="23" t="n"/>
      <c r="G13" s="25" t="n"/>
      <c r="H13" s="25" t="n"/>
      <c r="I13" s="28" t="n"/>
      <c r="J13" s="12">
        <f>IF(OR(H13="",I13=""),"",ROUND(H13*I13,0))</f>
        <v/>
      </c>
      <c r="K13" s="23" t="n"/>
      <c r="L13" s="23" t="n"/>
      <c r="M13" s="25" t="n"/>
      <c r="N13" s="29" t="n"/>
      <c r="O13" s="25" t="n"/>
      <c r="P13" s="12">
        <f>IF(AND(J13="",M13="",O13=""),"",N(M13)+N(J13)*N(N13)+N(O13))</f>
        <v/>
      </c>
      <c r="Q13" s="30">
        <f>IF(P13="","",P13/Lists!$C$18)</f>
        <v/>
      </c>
      <c r="R13" s="31" t="n"/>
      <c r="S13" s="14">
        <f>IF(OR(P13="",R13=""),"",P13*R13)</f>
        <v/>
      </c>
      <c r="T13" s="32" t="n"/>
      <c r="U13" s="14">
        <f>IF(AND(S13="",T13=""),"",N(S13)+N(T13))</f>
        <v/>
      </c>
      <c r="V13" s="23" t="n"/>
      <c r="W13" s="23" t="n"/>
      <c r="X13" s="23" t="n"/>
      <c r="Y13" s="23" t="n"/>
      <c r="Z13" s="22" t="n"/>
      <c r="AA13" s="25" t="n"/>
      <c r="AB13" s="23" t="n"/>
      <c r="AC13" s="23" t="n"/>
      <c r="AD13" s="23" t="n"/>
      <c r="AE13" s="23" t="n"/>
      <c r="AF13" s="23" t="n"/>
      <c r="AG13" s="23" t="n"/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Sales &amp; RevOps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Customer Success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Onboarding</t>
        </is>
      </c>
      <c r="C10" s="22" t="inlineStr">
        <is>
          <t>Onboarding guides</t>
        </is>
      </c>
      <c r="D10" s="22" t="inlineStr">
        <is>
          <t>Welcome packs and getting-started guides</t>
        </is>
      </c>
      <c r="E10" s="23" t="inlineStr">
        <is>
          <t>CS operations</t>
        </is>
      </c>
      <c r="F10" s="23" t="inlineStr">
        <is>
          <t>Content hub</t>
        </is>
      </c>
      <c r="G10" s="25" t="n">
        <v>12</v>
      </c>
      <c r="H10" s="25" t="n">
        <v>7</v>
      </c>
      <c r="I10" s="28" t="n">
        <v>0.5</v>
      </c>
      <c r="J10" s="12">
        <f>IF(OR(H10="",I10=""),"",ROUND(H10*I10,0))</f>
        <v/>
      </c>
      <c r="K10" s="23" t="inlineStr">
        <is>
          <t>Full rebuild</t>
        </is>
      </c>
      <c r="L10" s="23" t="inlineStr">
        <is>
          <t>Critical</t>
        </is>
      </c>
      <c r="M10" s="25" t="n">
        <v>16</v>
      </c>
      <c r="N10" s="29" t="n">
        <v>0.5</v>
      </c>
      <c r="O10" s="25" t="n">
        <v>16</v>
      </c>
      <c r="P10" s="12">
        <f>IF(AND(J10="",M10="",O10=""),"",N(M10)+N(J10)*N(N10)+N(O10))</f>
        <v/>
      </c>
      <c r="Q10" s="30">
        <f>IF(P10="","",P10/Lists!$C$18)</f>
        <v/>
      </c>
      <c r="R10" s="31" t="n"/>
      <c r="S10" s="14">
        <f>IF(OR(P10="",R10=""),"",P10*R10)</f>
        <v/>
      </c>
      <c r="T10" s="32" t="n">
        <v>5000</v>
      </c>
      <c r="U10" s="14">
        <f>IF(AND(S10="",T10=""),"",N(S10)+N(T10))</f>
        <v/>
      </c>
      <c r="V10" s="23" t="inlineStr">
        <is>
          <t>Partial</t>
        </is>
      </c>
      <c r="W10" s="23" t="inlineStr">
        <is>
          <t>Yes</t>
        </is>
      </c>
      <c r="X10" s="23" t="inlineStr">
        <is>
          <t>No</t>
        </is>
      </c>
      <c r="Y10" s="23" t="inlineStr">
        <is>
          <t>No</t>
        </is>
      </c>
      <c r="Z10" s="22" t="inlineStr">
        <is>
          <t>Platform choice confirmed</t>
        </is>
      </c>
      <c r="AA10" s="25" t="n">
        <v>60</v>
      </c>
      <c r="AB10" s="23" t="inlineStr">
        <is>
          <t>Medium</t>
        </is>
      </c>
      <c r="AC10" s="23" t="inlineStr">
        <is>
          <t>Critical</t>
        </is>
      </c>
      <c r="AD10" s="23" t="inlineStr">
        <is>
          <t>Partial</t>
        </is>
      </c>
      <c r="AE10" s="23" t="inlineStr">
        <is>
          <t>Merge</t>
        </is>
      </c>
      <c r="AF10" s="23" t="inlineStr">
        <is>
          <t>Before cutover</t>
        </is>
      </c>
      <c r="AG10" s="23" t="inlineStr">
        <is>
          <t>Scoping</t>
        </is>
      </c>
      <c r="AH10" s="22" t="inlineStr">
        <is>
          <t>Example row: replace with your own estimate.</t>
        </is>
      </c>
    </row>
    <row r="11">
      <c r="B11" s="23" t="inlineStr">
        <is>
          <t>Communications</t>
        </is>
      </c>
      <c r="C11" s="22" t="inlineStr">
        <is>
          <t>Customer notices</t>
        </is>
      </c>
      <c r="D11" s="22" t="inlineStr">
        <is>
          <t>Advance notice of the move and what changes</t>
        </is>
      </c>
      <c r="E11" s="23" t="inlineStr">
        <is>
          <t>CS director</t>
        </is>
      </c>
      <c r="F11" s="23" t="inlineStr">
        <is>
          <t>Email platform</t>
        </is>
      </c>
      <c r="G11" s="25" t="n">
        <v>800</v>
      </c>
      <c r="H11" s="25" t="n">
        <v>800</v>
      </c>
      <c r="I11" s="28" t="n">
        <v>0.25</v>
      </c>
      <c r="J11" s="12">
        <f>IF(OR(H11="",I11=""),"",ROUND(H11*I11,0))</f>
        <v/>
      </c>
      <c r="K11" s="23" t="inlineStr">
        <is>
          <t>Legal text</t>
        </is>
      </c>
      <c r="L11" s="23" t="inlineStr">
        <is>
          <t>Medium</t>
        </is>
      </c>
      <c r="M11" s="25" t="n">
        <v>40</v>
      </c>
      <c r="N11" s="29" t="n">
        <v>0.5</v>
      </c>
      <c r="O11" s="25" t="n">
        <v>16</v>
      </c>
      <c r="P11" s="12">
        <f>IF(AND(J11="",M11="",O11=""),"",N(M11)+N(J11)*N(N11)+N(O11))</f>
        <v/>
      </c>
      <c r="Q11" s="30">
        <f>IF(P11="","",P11/Lists!$C$18)</f>
        <v/>
      </c>
      <c r="R11" s="31" t="n"/>
      <c r="S11" s="14">
        <f>IF(OR(P11="",R11=""),"",P11*R11)</f>
        <v/>
      </c>
      <c r="T11" s="32" t="n"/>
      <c r="U11" s="14">
        <f>IF(AND(S11="",T11=""),"",N(S11)+N(T11))</f>
        <v/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Yes</t>
        </is>
      </c>
      <c r="Z11" s="22" t="n"/>
      <c r="AA11" s="25" t="n">
        <v>14</v>
      </c>
      <c r="AB11" s="23" t="inlineStr">
        <is>
          <t>Critical</t>
        </is>
      </c>
      <c r="AC11" s="23" t="inlineStr">
        <is>
          <t>Medium</t>
        </is>
      </c>
      <c r="AD11" s="23" t="inlineStr">
        <is>
          <t>No</t>
        </is>
      </c>
      <c r="AE11" s="23" t="inlineStr">
        <is>
          <t>Update</t>
        </is>
      </c>
      <c r="AF11" s="23" t="inlineStr">
        <is>
          <t>Before cutover</t>
        </is>
      </c>
      <c r="AG11" s="23" t="inlineStr">
        <is>
          <t>Scoping</t>
        </is>
      </c>
      <c r="AH11" s="22" t="n"/>
    </row>
    <row r="12">
      <c r="B12" s="23" t="inlineStr">
        <is>
          <t>Accounts</t>
        </is>
      </c>
      <c r="C12" s="22" t="inlineStr">
        <is>
          <t>Success plans</t>
        </is>
      </c>
      <c r="D12" s="22" t="inlineStr">
        <is>
          <t>Plans that reference portal features</t>
        </is>
      </c>
      <c r="E12" s="23" t="inlineStr">
        <is>
          <t>CS manager</t>
        </is>
      </c>
      <c r="F12" s="23" t="inlineStr">
        <is>
          <t>CS platform</t>
        </is>
      </c>
      <c r="G12" s="25" t="n">
        <v>250</v>
      </c>
      <c r="H12" s="25" t="n">
        <v>225</v>
      </c>
      <c r="I12" s="28" t="n">
        <v>0.5</v>
      </c>
      <c r="J12" s="12">
        <f>IF(OR(H12="",I12=""),"",ROUND(H12*I12,0))</f>
        <v/>
      </c>
      <c r="K12" s="23" t="inlineStr">
        <is>
          <t>Legal text</t>
        </is>
      </c>
      <c r="L12" s="23" t="inlineStr">
        <is>
          <t>High</t>
        </is>
      </c>
      <c r="M12" s="25" t="n">
        <v>8</v>
      </c>
      <c r="N12" s="29" t="n">
        <v>4</v>
      </c>
      <c r="O12" s="25" t="n">
        <v>4</v>
      </c>
      <c r="P12" s="12">
        <f>IF(AND(J12="",M12="",O12=""),"",N(M12)+N(J12)*N(N12)+N(O12))</f>
        <v/>
      </c>
      <c r="Q12" s="30">
        <f>IF(P12="","",P12/Lists!$C$18)</f>
        <v/>
      </c>
      <c r="R12" s="31" t="n"/>
      <c r="S12" s="14">
        <f>IF(OR(P12="",R12=""),"",P12*R12)</f>
        <v/>
      </c>
      <c r="T12" s="32" t="n"/>
      <c r="U12" s="14">
        <f>IF(AND(S12="",T12=""),"",N(S12)+N(T12))</f>
        <v/>
      </c>
      <c r="V12" s="23" t="inlineStr">
        <is>
          <t>Partial</t>
        </is>
      </c>
      <c r="W12" s="23" t="inlineStr">
        <is>
          <t>No</t>
        </is>
      </c>
      <c r="X12" s="23" t="inlineStr">
        <is>
          <t>No</t>
        </is>
      </c>
      <c r="Y12" s="23" t="inlineStr">
        <is>
          <t>No</t>
        </is>
      </c>
      <c r="Z12" s="22" t="n"/>
      <c r="AA12" s="25" t="n">
        <v>10</v>
      </c>
      <c r="AB12" s="23" t="inlineStr">
        <is>
          <t>Low</t>
        </is>
      </c>
      <c r="AC12" s="23" t="inlineStr">
        <is>
          <t>Critical</t>
        </is>
      </c>
      <c r="AD12" s="23" t="inlineStr">
        <is>
          <t>No</t>
        </is>
      </c>
      <c r="AE12" s="23" t="inlineStr">
        <is>
          <t>Retire</t>
        </is>
      </c>
      <c r="AF12" s="23" t="inlineStr">
        <is>
          <t>Before cutover</t>
        </is>
      </c>
      <c r="AG12" s="23" t="inlineStr">
        <is>
          <t>Validated</t>
        </is>
      </c>
      <c r="AH12" s="22" t="n"/>
    </row>
    <row r="13">
      <c r="B13" s="23" t="n"/>
      <c r="C13" s="22" t="n"/>
      <c r="D13" s="22" t="n"/>
      <c r="E13" s="23" t="n"/>
      <c r="F13" s="23" t="n"/>
      <c r="G13" s="25" t="n"/>
      <c r="H13" s="25" t="n"/>
      <c r="I13" s="28" t="n"/>
      <c r="J13" s="12">
        <f>IF(OR(H13="",I13=""),"",ROUND(H13*I13,0))</f>
        <v/>
      </c>
      <c r="K13" s="23" t="n"/>
      <c r="L13" s="23" t="n"/>
      <c r="M13" s="25" t="n"/>
      <c r="N13" s="29" t="n"/>
      <c r="O13" s="25" t="n"/>
      <c r="P13" s="12">
        <f>IF(AND(J13="",M13="",O13=""),"",N(M13)+N(J13)*N(N13)+N(O13))</f>
        <v/>
      </c>
      <c r="Q13" s="30">
        <f>IF(P13="","",P13/Lists!$C$18)</f>
        <v/>
      </c>
      <c r="R13" s="31" t="n"/>
      <c r="S13" s="14">
        <f>IF(OR(P13="",R13=""),"",P13*R13)</f>
        <v/>
      </c>
      <c r="T13" s="32" t="n"/>
      <c r="U13" s="14">
        <f>IF(AND(S13="",T13=""),"",N(S13)+N(T13))</f>
        <v/>
      </c>
      <c r="V13" s="23" t="n"/>
      <c r="W13" s="23" t="n"/>
      <c r="X13" s="23" t="n"/>
      <c r="Y13" s="23" t="n"/>
      <c r="Z13" s="22" t="n"/>
      <c r="AA13" s="25" t="n"/>
      <c r="AB13" s="23" t="n"/>
      <c r="AC13" s="23" t="n"/>
      <c r="AD13" s="23" t="n"/>
      <c r="AE13" s="23" t="n"/>
      <c r="AF13" s="23" t="n"/>
      <c r="AG13" s="23" t="n"/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Customer Success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Professional Services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Delivery</t>
        </is>
      </c>
      <c r="C10" s="22" t="inlineStr">
        <is>
          <t>Implementation playbooks</t>
        </is>
      </c>
      <c r="D10" s="22" t="inlineStr">
        <is>
          <t>Playbooks with portal set-up steps</t>
        </is>
      </c>
      <c r="E10" s="23" t="inlineStr">
        <is>
          <t>PS lead</t>
        </is>
      </c>
      <c r="F10" s="23" t="inlineStr">
        <is>
          <t>Content hub</t>
        </is>
      </c>
      <c r="G10" s="25" t="n">
        <v>40</v>
      </c>
      <c r="H10" s="25" t="n">
        <v>30</v>
      </c>
      <c r="I10" s="28" t="n">
        <v>0.75</v>
      </c>
      <c r="J10" s="12">
        <f>IF(OR(H10="",I10=""),"",ROUND(H10*I10,0))</f>
        <v/>
      </c>
      <c r="K10" s="23" t="inlineStr">
        <is>
          <t>Visual update</t>
        </is>
      </c>
      <c r="L10" s="23" t="inlineStr">
        <is>
          <t>Critical</t>
        </is>
      </c>
      <c r="M10" s="25" t="n">
        <v>4</v>
      </c>
      <c r="N10" s="29" t="n">
        <v>4</v>
      </c>
      <c r="O10" s="25" t="n">
        <v>2</v>
      </c>
      <c r="P10" s="12">
        <f>IF(AND(J10="",M10="",O10=""),"",N(M10)+N(J10)*N(N10)+N(O10))</f>
        <v/>
      </c>
      <c r="Q10" s="30">
        <f>IF(P10="","",P10/Lists!$C$18)</f>
        <v/>
      </c>
      <c r="R10" s="31" t="n"/>
      <c r="S10" s="14">
        <f>IF(OR(P10="",R10=""),"",P10*R10)</f>
        <v/>
      </c>
      <c r="T10" s="32" t="n"/>
      <c r="U10" s="14">
        <f>IF(AND(S10="",T10=""),"",N(S10)+N(T10))</f>
        <v/>
      </c>
      <c r="V10" s="23" t="inlineStr">
        <is>
          <t>No</t>
        </is>
      </c>
      <c r="W10" s="23" t="inlineStr">
        <is>
          <t>Yes</t>
        </is>
      </c>
      <c r="X10" s="23" t="inlineStr">
        <is>
          <t>Partial</t>
        </is>
      </c>
      <c r="Y10" s="23" t="inlineStr">
        <is>
          <t>Yes</t>
        </is>
      </c>
      <c r="Z10" s="22" t="inlineStr">
        <is>
          <t>Platform choice confirmed</t>
        </is>
      </c>
      <c r="AA10" s="25" t="n">
        <v>30</v>
      </c>
      <c r="AB10" s="23" t="inlineStr">
        <is>
          <t>Medium</t>
        </is>
      </c>
      <c r="AC10" s="23" t="inlineStr">
        <is>
          <t>Critical</t>
        </is>
      </c>
      <c r="AD10" s="23" t="inlineStr">
        <is>
          <t>Partial</t>
        </is>
      </c>
      <c r="AE10" s="23" t="inlineStr">
        <is>
          <t>Redirect</t>
        </is>
      </c>
      <c r="AF10" s="23" t="inlineStr">
        <is>
          <t>31–90 days</t>
        </is>
      </c>
      <c r="AG10" s="23" t="inlineStr">
        <is>
          <t>Scoping</t>
        </is>
      </c>
      <c r="AH10" s="22" t="inlineStr">
        <is>
          <t>Example row: replace with your own estimate.</t>
        </is>
      </c>
    </row>
    <row r="11">
      <c r="B11" s="23" t="inlineStr">
        <is>
          <t>Delivery</t>
        </is>
      </c>
      <c r="C11" s="22" t="inlineStr">
        <is>
          <t>Statement of work templates</t>
        </is>
      </c>
      <c r="D11" s="22" t="inlineStr">
        <is>
          <t>SOW templates with URLs</t>
        </is>
      </c>
      <c r="E11" s="23" t="inlineStr">
        <is>
          <t>PS operations</t>
        </is>
      </c>
      <c r="F11" s="23" t="inlineStr">
        <is>
          <t>Contract system</t>
        </is>
      </c>
      <c r="G11" s="25" t="n">
        <v>60</v>
      </c>
      <c r="H11" s="25" t="n">
        <v>60</v>
      </c>
      <c r="I11" s="28" t="n">
        <v>0.75</v>
      </c>
      <c r="J11" s="12">
        <f>IF(OR(H11="",I11=""),"",ROUND(H11*I11,0))</f>
        <v/>
      </c>
      <c r="K11" s="23" t="inlineStr">
        <is>
          <t>Technical configuration</t>
        </is>
      </c>
      <c r="L11" s="23" t="inlineStr">
        <is>
          <t>High</t>
        </is>
      </c>
      <c r="M11" s="25" t="n">
        <v>16</v>
      </c>
      <c r="N11" s="29" t="n">
        <v>4</v>
      </c>
      <c r="O11" s="25" t="n">
        <v>4</v>
      </c>
      <c r="P11" s="12">
        <f>IF(AND(J11="",M11="",O11=""),"",N(M11)+N(J11)*N(N11)+N(O11))</f>
        <v/>
      </c>
      <c r="Q11" s="30">
        <f>IF(P11="","",P11/Lists!$C$18)</f>
        <v/>
      </c>
      <c r="R11" s="31" t="n"/>
      <c r="S11" s="14">
        <f>IF(OR(P11="",R11=""),"",P11*R11)</f>
        <v/>
      </c>
      <c r="T11" s="32" t="n"/>
      <c r="U11" s="14">
        <f>IF(AND(S11="",T11=""),"",N(S11)+N(T11))</f>
        <v/>
      </c>
      <c r="V11" s="23" t="inlineStr">
        <is>
          <t>Partial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2" t="n"/>
      <c r="AA11" s="25" t="n">
        <v>45</v>
      </c>
      <c r="AB11" s="23" t="inlineStr">
        <is>
          <t>Critical</t>
        </is>
      </c>
      <c r="AC11" s="23" t="inlineStr">
        <is>
          <t>High</t>
        </is>
      </c>
      <c r="AD11" s="23" t="inlineStr">
        <is>
          <t>Yes</t>
        </is>
      </c>
      <c r="AE11" s="23" t="inlineStr">
        <is>
          <t>Update</t>
        </is>
      </c>
      <c r="AF11" s="23" t="inlineStr">
        <is>
          <t>Before cutover</t>
        </is>
      </c>
      <c r="AG11" s="23" t="inlineStr">
        <is>
          <t>Validated</t>
        </is>
      </c>
      <c r="AH11" s="22" t="n"/>
    </row>
    <row r="12">
      <c r="B12" s="23" t="inlineStr">
        <is>
          <t>Training</t>
        </is>
      </c>
      <c r="C12" s="22" t="inlineStr">
        <is>
          <t>Customer training courses</t>
        </is>
      </c>
      <c r="D12" s="22" t="inlineStr">
        <is>
          <t>Instructor-led and on-demand courses</t>
        </is>
      </c>
      <c r="E12" s="23" t="inlineStr">
        <is>
          <t>Training lead</t>
        </is>
      </c>
      <c r="F12" s="23" t="inlineStr">
        <is>
          <t>Learning platform</t>
        </is>
      </c>
      <c r="G12" s="25" t="n">
        <v>60</v>
      </c>
      <c r="H12" s="25" t="n">
        <v>36</v>
      </c>
      <c r="I12" s="28" t="n">
        <v>0.25</v>
      </c>
      <c r="J12" s="12">
        <f>IF(OR(H12="",I12=""),"",ROUND(H12*I12,0))</f>
        <v/>
      </c>
      <c r="K12" s="23" t="inlineStr">
        <is>
          <t>Technical configuration</t>
        </is>
      </c>
      <c r="L12" s="23" t="inlineStr">
        <is>
          <t>Medium</t>
        </is>
      </c>
      <c r="M12" s="25" t="n">
        <v>16</v>
      </c>
      <c r="N12" s="29" t="n">
        <v>4</v>
      </c>
      <c r="O12" s="25" t="n">
        <v>8</v>
      </c>
      <c r="P12" s="12">
        <f>IF(AND(J12="",M12="",O12=""),"",N(M12)+N(J12)*N(N12)+N(O12))</f>
        <v/>
      </c>
      <c r="Q12" s="30">
        <f>IF(P12="","",P12/Lists!$C$18)</f>
        <v/>
      </c>
      <c r="R12" s="31" t="n"/>
      <c r="S12" s="14">
        <f>IF(OR(P12="",R12=""),"",P12*R12)</f>
        <v/>
      </c>
      <c r="T12" s="32" t="n">
        <v>30000</v>
      </c>
      <c r="U12" s="14">
        <f>IF(AND(S12="",T12=""),"",N(S12)+N(T12))</f>
        <v/>
      </c>
      <c r="V12" s="23" t="inlineStr">
        <is>
          <t>No</t>
        </is>
      </c>
      <c r="W12" s="23" t="inlineStr">
        <is>
          <t>No</t>
        </is>
      </c>
      <c r="X12" s="23" t="inlineStr">
        <is>
          <t>Partial</t>
        </is>
      </c>
      <c r="Y12" s="23" t="inlineStr">
        <is>
          <t>No</t>
        </is>
      </c>
      <c r="Z12" s="22" t="n"/>
      <c r="AA12" s="25" t="n">
        <v>45</v>
      </c>
      <c r="AB12" s="23" t="inlineStr">
        <is>
          <t>Critical</t>
        </is>
      </c>
      <c r="AC12" s="23" t="inlineStr">
        <is>
          <t>Medium</t>
        </is>
      </c>
      <c r="AD12" s="23" t="inlineStr">
        <is>
          <t>Partial</t>
        </is>
      </c>
      <c r="AE12" s="23" t="inlineStr">
        <is>
          <t>Update</t>
        </is>
      </c>
      <c r="AF12" s="23" t="inlineStr">
        <is>
          <t>Cutover day</t>
        </is>
      </c>
      <c r="AG12" s="23" t="inlineStr">
        <is>
          <t>Scoping</t>
        </is>
      </c>
      <c r="AH12" s="22" t="n"/>
    </row>
    <row r="13">
      <c r="B13" s="23" t="n"/>
      <c r="C13" s="22" t="n"/>
      <c r="D13" s="22" t="n"/>
      <c r="E13" s="23" t="n"/>
      <c r="F13" s="23" t="n"/>
      <c r="G13" s="25" t="n"/>
      <c r="H13" s="25" t="n"/>
      <c r="I13" s="28" t="n"/>
      <c r="J13" s="12">
        <f>IF(OR(H13="",I13=""),"",ROUND(H13*I13,0))</f>
        <v/>
      </c>
      <c r="K13" s="23" t="n"/>
      <c r="L13" s="23" t="n"/>
      <c r="M13" s="25" t="n"/>
      <c r="N13" s="29" t="n"/>
      <c r="O13" s="25" t="n"/>
      <c r="P13" s="12">
        <f>IF(AND(J13="",M13="",O13=""),"",N(M13)+N(J13)*N(N13)+N(O13))</f>
        <v/>
      </c>
      <c r="Q13" s="30">
        <f>IF(P13="","",P13/Lists!$C$18)</f>
        <v/>
      </c>
      <c r="R13" s="31" t="n"/>
      <c r="S13" s="14">
        <f>IF(OR(P13="",R13=""),"",P13*R13)</f>
        <v/>
      </c>
      <c r="T13" s="32" t="n"/>
      <c r="U13" s="14">
        <f>IF(AND(S13="",T13=""),"",N(S13)+N(T13))</f>
        <v/>
      </c>
      <c r="V13" s="23" t="n"/>
      <c r="W13" s="23" t="n"/>
      <c r="X13" s="23" t="n"/>
      <c r="Y13" s="23" t="n"/>
      <c r="Z13" s="22" t="n"/>
      <c r="AA13" s="25" t="n"/>
      <c r="AB13" s="23" t="n"/>
      <c r="AC13" s="23" t="n"/>
      <c r="AD13" s="23" t="n"/>
      <c r="AE13" s="23" t="n"/>
      <c r="AF13" s="23" t="n"/>
      <c r="AG13" s="23" t="n"/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Professional Services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Customer Support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Knowledge base</t>
        </is>
      </c>
      <c r="C10" s="22" t="inlineStr">
        <is>
          <t>Help articles</t>
        </is>
      </c>
      <c r="D10" s="22" t="inlineStr">
        <is>
          <t>Articles with screenshots and portal links</t>
        </is>
      </c>
      <c r="E10" s="23" t="inlineStr">
        <is>
          <t>Support content lead</t>
        </is>
      </c>
      <c r="F10" s="23" t="inlineStr">
        <is>
          <t>Help center</t>
        </is>
      </c>
      <c r="G10" s="25" t="n">
        <v>4</v>
      </c>
      <c r="H10" s="25" t="n">
        <v>4</v>
      </c>
      <c r="I10" s="28" t="n">
        <v>0.5</v>
      </c>
      <c r="J10" s="12">
        <f>IF(OR(H10="",I10=""),"",ROUND(H10*I10,0))</f>
        <v/>
      </c>
      <c r="K10" s="23" t="inlineStr">
        <is>
          <t>URL / link</t>
        </is>
      </c>
      <c r="L10" s="23" t="inlineStr">
        <is>
          <t>Medium</t>
        </is>
      </c>
      <c r="M10" s="25" t="n">
        <v>24</v>
      </c>
      <c r="N10" s="29" t="n">
        <v>1</v>
      </c>
      <c r="O10" s="25" t="n">
        <v>8</v>
      </c>
      <c r="P10" s="12">
        <f>IF(AND(J10="",M10="",O10=""),"",N(M10)+N(J10)*N(N10)+N(O10))</f>
        <v/>
      </c>
      <c r="Q10" s="30">
        <f>IF(P10="","",P10/Lists!$C$18)</f>
        <v/>
      </c>
      <c r="R10" s="31" t="n"/>
      <c r="S10" s="14">
        <f>IF(OR(P10="",R10=""),"",P10*R10)</f>
        <v/>
      </c>
      <c r="T10" s="32" t="n"/>
      <c r="U10" s="14">
        <f>IF(AND(S10="",T10=""),"",N(S10)+N(T10))</f>
        <v/>
      </c>
      <c r="V10" s="23" t="inlineStr">
        <is>
          <t>Yes</t>
        </is>
      </c>
      <c r="W10" s="23" t="inlineStr">
        <is>
          <t>No</t>
        </is>
      </c>
      <c r="X10" s="23" t="inlineStr">
        <is>
          <t>Yes</t>
        </is>
      </c>
      <c r="Y10" s="23" t="inlineStr">
        <is>
          <t>No</t>
        </is>
      </c>
      <c r="Z10" s="22" t="inlineStr">
        <is>
          <t>Platform choice confirmed</t>
        </is>
      </c>
      <c r="AA10" s="25" t="n">
        <v>45</v>
      </c>
      <c r="AB10" s="23" t="inlineStr">
        <is>
          <t>Medium</t>
        </is>
      </c>
      <c r="AC10" s="23" t="inlineStr">
        <is>
          <t>Low</t>
        </is>
      </c>
      <c r="AD10" s="23" t="inlineStr">
        <is>
          <t>Partial</t>
        </is>
      </c>
      <c r="AE10" s="23" t="inlineStr">
        <is>
          <t>Update</t>
        </is>
      </c>
      <c r="AF10" s="23" t="inlineStr">
        <is>
          <t>Cutover day</t>
        </is>
      </c>
      <c r="AG10" s="23" t="inlineStr">
        <is>
          <t>Scoping</t>
        </is>
      </c>
      <c r="AH10" s="22" t="inlineStr">
        <is>
          <t>Example row: replace with your own estimate.</t>
        </is>
      </c>
    </row>
    <row r="11">
      <c r="B11" s="23" t="inlineStr">
        <is>
          <t>Tooling</t>
        </is>
      </c>
      <c r="C11" s="22" t="inlineStr">
        <is>
          <t>Macros and saved replies</t>
        </is>
      </c>
      <c r="D11" s="22" t="inlineStr">
        <is>
          <t>Saved replies that include URLs</t>
        </is>
      </c>
      <c r="E11" s="23" t="inlineStr">
        <is>
          <t>Support operations</t>
        </is>
      </c>
      <c r="F11" s="23" t="inlineStr">
        <is>
          <t>Ticketing system</t>
        </is>
      </c>
      <c r="G11" s="25" t="n">
        <v>800</v>
      </c>
      <c r="H11" s="25" t="n">
        <v>600</v>
      </c>
      <c r="I11" s="28" t="n">
        <v>0.25</v>
      </c>
      <c r="J11" s="12">
        <f>IF(OR(H11="",I11=""),"",ROUND(H11*I11,0))</f>
        <v/>
      </c>
      <c r="K11" s="23" t="inlineStr">
        <is>
          <t>Content update</t>
        </is>
      </c>
      <c r="L11" s="23" t="inlineStr">
        <is>
          <t>Critical</t>
        </is>
      </c>
      <c r="M11" s="25" t="n">
        <v>8</v>
      </c>
      <c r="N11" s="29" t="n">
        <v>4</v>
      </c>
      <c r="O11" s="25" t="n">
        <v>4</v>
      </c>
      <c r="P11" s="12">
        <f>IF(AND(J11="",M11="",O11=""),"",N(M11)+N(J11)*N(N11)+N(O11))</f>
        <v/>
      </c>
      <c r="Q11" s="30">
        <f>IF(P11="","",P11/Lists!$C$18)</f>
        <v/>
      </c>
      <c r="R11" s="31" t="n">
        <v>95</v>
      </c>
      <c r="S11" s="14">
        <f>IF(OR(P11="",R11=""),"",P11*R11)</f>
        <v/>
      </c>
      <c r="T11" s="32" t="n"/>
      <c r="U11" s="14">
        <f>IF(AND(S11="",T11=""),"",N(S11)+N(T11))</f>
        <v/>
      </c>
      <c r="V11" s="23" t="inlineStr">
        <is>
          <t>Partial</t>
        </is>
      </c>
      <c r="W11" s="23" t="inlineStr">
        <is>
          <t>No</t>
        </is>
      </c>
      <c r="X11" s="23" t="inlineStr">
        <is>
          <t>Yes</t>
        </is>
      </c>
      <c r="Y11" s="23" t="inlineStr">
        <is>
          <t>No</t>
        </is>
      </c>
      <c r="Z11" s="22" t="n"/>
      <c r="AA11" s="25" t="n">
        <v>10</v>
      </c>
      <c r="AB11" s="23" t="inlineStr">
        <is>
          <t>Medium</t>
        </is>
      </c>
      <c r="AC11" s="23" t="inlineStr">
        <is>
          <t>Medium</t>
        </is>
      </c>
      <c r="AD11" s="23" t="inlineStr">
        <is>
          <t>Partial</t>
        </is>
      </c>
      <c r="AE11" s="23" t="inlineStr">
        <is>
          <t>Redirect</t>
        </is>
      </c>
      <c r="AF11" s="23" t="inlineStr">
        <is>
          <t>31–90 days</t>
        </is>
      </c>
      <c r="AG11" s="23" t="inlineStr">
        <is>
          <t>Scoping</t>
        </is>
      </c>
      <c r="AH11" s="22" t="n"/>
    </row>
    <row r="12">
      <c r="B12" s="23" t="inlineStr">
        <is>
          <t>Tooling</t>
        </is>
      </c>
      <c r="C12" s="22" t="inlineStr">
        <is>
          <t>Support portal</t>
        </is>
      </c>
      <c r="D12" s="22" t="inlineStr">
        <is>
          <t>Ticket submission pages</t>
        </is>
      </c>
      <c r="E12" s="23" t="inlineStr">
        <is>
          <t>Support operations</t>
        </is>
      </c>
      <c r="F12" s="23" t="inlineStr">
        <is>
          <t>Ticketing system</t>
        </is>
      </c>
      <c r="G12" s="25" t="n">
        <v>4</v>
      </c>
      <c r="H12" s="25" t="n">
        <v>4</v>
      </c>
      <c r="I12" s="28" t="n">
        <v>0.75</v>
      </c>
      <c r="J12" s="12">
        <f>IF(OR(H12="",I12=""),"",ROUND(H12*I12,0))</f>
        <v/>
      </c>
      <c r="K12" s="23" t="inlineStr">
        <is>
          <t>Legal text</t>
        </is>
      </c>
      <c r="L12" s="23" t="inlineStr">
        <is>
          <t>High</t>
        </is>
      </c>
      <c r="M12" s="25" t="n">
        <v>8</v>
      </c>
      <c r="N12" s="29" t="n">
        <v>4</v>
      </c>
      <c r="O12" s="25" t="n">
        <v>16</v>
      </c>
      <c r="P12" s="12">
        <f>IF(AND(J12="",M12="",O12=""),"",N(M12)+N(J12)*N(N12)+N(O12))</f>
        <v/>
      </c>
      <c r="Q12" s="30">
        <f>IF(P12="","",P12/Lists!$C$18)</f>
        <v/>
      </c>
      <c r="R12" s="31" t="n">
        <v>95</v>
      </c>
      <c r="S12" s="14">
        <f>IF(OR(P12="",R12=""),"",P12*R12)</f>
        <v/>
      </c>
      <c r="T12" s="32" t="n">
        <v>12000</v>
      </c>
      <c r="U12" s="14">
        <f>IF(AND(S12="",T12=""),"",N(S12)+N(T12))</f>
        <v/>
      </c>
      <c r="V12" s="23" t="inlineStr">
        <is>
          <t>No</t>
        </is>
      </c>
      <c r="W12" s="23" t="inlineStr">
        <is>
          <t>No</t>
        </is>
      </c>
      <c r="X12" s="23" t="inlineStr">
        <is>
          <t>Partial</t>
        </is>
      </c>
      <c r="Y12" s="23" t="inlineStr">
        <is>
          <t>No</t>
        </is>
      </c>
      <c r="Z12" s="22" t="n"/>
      <c r="AA12" s="25" t="n">
        <v>30</v>
      </c>
      <c r="AB12" s="23" t="inlineStr">
        <is>
          <t>Medium</t>
        </is>
      </c>
      <c r="AC12" s="23" t="inlineStr">
        <is>
          <t>Low</t>
        </is>
      </c>
      <c r="AD12" s="23" t="inlineStr">
        <is>
          <t>No</t>
        </is>
      </c>
      <c r="AE12" s="23" t="inlineStr">
        <is>
          <t>Merge</t>
        </is>
      </c>
      <c r="AF12" s="23" t="inlineStr">
        <is>
          <t>0–30 days</t>
        </is>
      </c>
      <c r="AG12" s="23" t="inlineStr">
        <is>
          <t>Validated</t>
        </is>
      </c>
      <c r="AH12" s="22" t="n"/>
    </row>
    <row r="13">
      <c r="B13" s="23" t="inlineStr">
        <is>
          <t>Communications</t>
        </is>
      </c>
      <c r="C13" s="22" t="inlineStr">
        <is>
          <t>Status page</t>
        </is>
      </c>
      <c r="D13" s="22" t="inlineStr">
        <is>
          <t>Status page components and subscriber notices</t>
        </is>
      </c>
      <c r="E13" s="23" t="inlineStr">
        <is>
          <t>Support operations</t>
        </is>
      </c>
      <c r="F13" s="23" t="inlineStr">
        <is>
          <t>Status page tool</t>
        </is>
      </c>
      <c r="G13" s="25" t="n">
        <v>12</v>
      </c>
      <c r="H13" s="25" t="n">
        <v>7</v>
      </c>
      <c r="I13" s="28" t="n">
        <v>0.75</v>
      </c>
      <c r="J13" s="12">
        <f>IF(OR(H13="",I13=""),"",ROUND(H13*I13,0))</f>
        <v/>
      </c>
      <c r="K13" s="23" t="inlineStr">
        <is>
          <t>URL / link</t>
        </is>
      </c>
      <c r="L13" s="23" t="inlineStr">
        <is>
          <t>Medium</t>
        </is>
      </c>
      <c r="M13" s="25" t="n">
        <v>40</v>
      </c>
      <c r="N13" s="29" t="n">
        <v>1</v>
      </c>
      <c r="O13" s="25" t="n">
        <v>8</v>
      </c>
      <c r="P13" s="12">
        <f>IF(AND(J13="",M13="",O13=""),"",N(M13)+N(J13)*N(N13)+N(O13))</f>
        <v/>
      </c>
      <c r="Q13" s="30">
        <f>IF(P13="","",P13/Lists!$C$18)</f>
        <v/>
      </c>
      <c r="R13" s="31" t="n">
        <v>85</v>
      </c>
      <c r="S13" s="14">
        <f>IF(OR(P13="",R13=""),"",P13*R13)</f>
        <v/>
      </c>
      <c r="T13" s="32" t="n">
        <v>5000</v>
      </c>
      <c r="U13" s="14">
        <f>IF(AND(S13="",T13=""),"",N(S13)+N(T13))</f>
        <v/>
      </c>
      <c r="V13" s="23" t="inlineStr">
        <is>
          <t>Yes</t>
        </is>
      </c>
      <c r="W13" s="23" t="inlineStr">
        <is>
          <t>No</t>
        </is>
      </c>
      <c r="X13" s="23" t="inlineStr">
        <is>
          <t>No</t>
        </is>
      </c>
      <c r="Y13" s="23" t="inlineStr">
        <is>
          <t>No</t>
        </is>
      </c>
      <c r="Z13" s="22" t="n"/>
      <c r="AA13" s="25" t="n">
        <v>60</v>
      </c>
      <c r="AB13" s="23" t="inlineStr">
        <is>
          <t>Critical</t>
        </is>
      </c>
      <c r="AC13" s="23" t="inlineStr">
        <is>
          <t>Low</t>
        </is>
      </c>
      <c r="AD13" s="23" t="inlineStr">
        <is>
          <t>Yes</t>
        </is>
      </c>
      <c r="AE13" s="23" t="inlineStr">
        <is>
          <t>Update</t>
        </is>
      </c>
      <c r="AF13" s="23" t="inlineStr">
        <is>
          <t>31–90 days</t>
        </is>
      </c>
      <c r="AG13" s="23" t="inlineStr">
        <is>
          <t>Scoping</t>
        </is>
      </c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Customer Support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Pre-Sales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Demo</t>
        </is>
      </c>
      <c r="C10" s="22" t="inlineStr">
        <is>
          <t>Demo environments</t>
        </is>
      </c>
      <c r="D10" s="22" t="inlineStr">
        <is>
          <t>Demo tenants on the current portal</t>
        </is>
      </c>
      <c r="E10" s="23" t="inlineStr">
        <is>
          <t>Solutions lead</t>
        </is>
      </c>
      <c r="F10" s="23" t="inlineStr">
        <is>
          <t>Demo platform</t>
        </is>
      </c>
      <c r="G10" s="25" t="n">
        <v>25</v>
      </c>
      <c r="H10" s="25" t="n">
        <v>25</v>
      </c>
      <c r="I10" s="28" t="n">
        <v>0.5</v>
      </c>
      <c r="J10" s="12">
        <f>IF(OR(H10="",I10=""),"",ROUND(H10*I10,0))</f>
        <v/>
      </c>
      <c r="K10" s="23" t="inlineStr">
        <is>
          <t>Content update</t>
        </is>
      </c>
      <c r="L10" s="23" t="inlineStr">
        <is>
          <t>Critical</t>
        </is>
      </c>
      <c r="M10" s="25" t="n">
        <v>8</v>
      </c>
      <c r="N10" s="29" t="n">
        <v>0.25</v>
      </c>
      <c r="O10" s="25" t="n">
        <v>16</v>
      </c>
      <c r="P10" s="12">
        <f>IF(AND(J10="",M10="",O10=""),"",N(M10)+N(J10)*N(N10)+N(O10))</f>
        <v/>
      </c>
      <c r="Q10" s="30">
        <f>IF(P10="","",P10/Lists!$C$18)</f>
        <v/>
      </c>
      <c r="R10" s="31" t="n">
        <v>95</v>
      </c>
      <c r="S10" s="14">
        <f>IF(OR(P10="",R10=""),"",P10*R10)</f>
        <v/>
      </c>
      <c r="T10" s="32" t="n"/>
      <c r="U10" s="14">
        <f>IF(AND(S10="",T10=""),"",N(S10)+N(T10))</f>
        <v/>
      </c>
      <c r="V10" s="23" t="inlineStr">
        <is>
          <t>No</t>
        </is>
      </c>
      <c r="W10" s="23" t="inlineStr">
        <is>
          <t>No</t>
        </is>
      </c>
      <c r="X10" s="23" t="inlineStr">
        <is>
          <t>Partial</t>
        </is>
      </c>
      <c r="Y10" s="23" t="inlineStr">
        <is>
          <t>Yes</t>
        </is>
      </c>
      <c r="Z10" s="22" t="inlineStr">
        <is>
          <t>Platform choice confirmed</t>
        </is>
      </c>
      <c r="AA10" s="25" t="n">
        <v>60</v>
      </c>
      <c r="AB10" s="23" t="inlineStr">
        <is>
          <t>High</t>
        </is>
      </c>
      <c r="AC10" s="23" t="inlineStr">
        <is>
          <t>High</t>
        </is>
      </c>
      <c r="AD10" s="23" t="inlineStr">
        <is>
          <t>No</t>
        </is>
      </c>
      <c r="AE10" s="23" t="inlineStr">
        <is>
          <t>Redirect</t>
        </is>
      </c>
      <c r="AF10" s="23" t="inlineStr">
        <is>
          <t>0–30 days</t>
        </is>
      </c>
      <c r="AG10" s="23" t="inlineStr">
        <is>
          <t>Not started</t>
        </is>
      </c>
      <c r="AH10" s="22" t="inlineStr">
        <is>
          <t>Example row: replace with your own estimate.</t>
        </is>
      </c>
    </row>
    <row r="11">
      <c r="B11" s="23" t="inlineStr">
        <is>
          <t>Templates</t>
        </is>
      </c>
      <c r="C11" s="22" t="inlineStr">
        <is>
          <t>RFP answer library</t>
        </is>
      </c>
      <c r="D11" s="22" t="inlineStr">
        <is>
          <t>Standard answers that mention hosting and URLs</t>
        </is>
      </c>
      <c r="E11" s="23" t="inlineStr">
        <is>
          <t>Bid manager</t>
        </is>
      </c>
      <c r="F11" s="23" t="inlineStr">
        <is>
          <t>RFP tool</t>
        </is>
      </c>
      <c r="G11" s="25" t="n">
        <v>60</v>
      </c>
      <c r="H11" s="25" t="n">
        <v>36</v>
      </c>
      <c r="I11" s="28" t="n">
        <v>0.75</v>
      </c>
      <c r="J11" s="12">
        <f>IF(OR(H11="",I11=""),"",ROUND(H11*I11,0))</f>
        <v/>
      </c>
      <c r="K11" s="23" t="inlineStr">
        <is>
          <t>Legal text</t>
        </is>
      </c>
      <c r="L11" s="23" t="inlineStr">
        <is>
          <t>Critical</t>
        </is>
      </c>
      <c r="M11" s="25" t="n">
        <v>40</v>
      </c>
      <c r="N11" s="29" t="n">
        <v>0.5</v>
      </c>
      <c r="O11" s="25" t="n">
        <v>2</v>
      </c>
      <c r="P11" s="12">
        <f>IF(AND(J11="",M11="",O11=""),"",N(M11)+N(J11)*N(N11)+N(O11))</f>
        <v/>
      </c>
      <c r="Q11" s="30">
        <f>IF(P11="","",P11/Lists!$C$18)</f>
        <v/>
      </c>
      <c r="R11" s="31" t="n">
        <v>85</v>
      </c>
      <c r="S11" s="14">
        <f>IF(OR(P11="",R11=""),"",P11*R11)</f>
        <v/>
      </c>
      <c r="T11" s="32" t="n">
        <v>30000</v>
      </c>
      <c r="U11" s="14">
        <f>IF(AND(S11="",T11=""),"",N(S11)+N(T11))</f>
        <v/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2" t="n"/>
      <c r="AA11" s="25" t="n">
        <v>14</v>
      </c>
      <c r="AB11" s="23" t="inlineStr">
        <is>
          <t>High</t>
        </is>
      </c>
      <c r="AC11" s="23" t="inlineStr">
        <is>
          <t>Medium</t>
        </is>
      </c>
      <c r="AD11" s="23" t="inlineStr">
        <is>
          <t>No</t>
        </is>
      </c>
      <c r="AE11" s="23" t="inlineStr">
        <is>
          <t>Merge</t>
        </is>
      </c>
      <c r="AF11" s="23" t="inlineStr">
        <is>
          <t>31–90 days</t>
        </is>
      </c>
      <c r="AG11" s="23" t="inlineStr">
        <is>
          <t>Not started</t>
        </is>
      </c>
      <c r="AH11" s="22" t="n"/>
    </row>
    <row r="12">
      <c r="B12" s="23" t="inlineStr">
        <is>
          <t>Demo</t>
        </is>
      </c>
      <c r="C12" s="22" t="inlineStr">
        <is>
          <t>Recorded demos</t>
        </is>
      </c>
      <c r="D12" s="22" t="inlineStr">
        <is>
          <t>Demo videos that show the portal</t>
        </is>
      </c>
      <c r="E12" s="23" t="inlineStr">
        <is>
          <t>Solutions consultant</t>
        </is>
      </c>
      <c r="F12" s="23" t="inlineStr">
        <is>
          <t>Video platform</t>
        </is>
      </c>
      <c r="G12" s="25" t="n">
        <v>12</v>
      </c>
      <c r="H12" s="25" t="n">
        <v>7</v>
      </c>
      <c r="I12" s="28" t="n">
        <v>0.5</v>
      </c>
      <c r="J12" s="12">
        <f>IF(OR(H12="",I12=""),"",ROUND(H12*I12,0))</f>
        <v/>
      </c>
      <c r="K12" s="23" t="inlineStr">
        <is>
          <t>URL / link</t>
        </is>
      </c>
      <c r="L12" s="23" t="inlineStr">
        <is>
          <t>Critical</t>
        </is>
      </c>
      <c r="M12" s="25" t="n">
        <v>4</v>
      </c>
      <c r="N12" s="29" t="n">
        <v>1</v>
      </c>
      <c r="O12" s="25" t="n">
        <v>16</v>
      </c>
      <c r="P12" s="12">
        <f>IF(AND(J12="",M12="",O12=""),"",N(M12)+N(J12)*N(N12)+N(O12))</f>
        <v/>
      </c>
      <c r="Q12" s="30">
        <f>IF(P12="","",P12/Lists!$C$18)</f>
        <v/>
      </c>
      <c r="R12" s="31" t="n"/>
      <c r="S12" s="14">
        <f>IF(OR(P12="",R12=""),"",P12*R12)</f>
        <v/>
      </c>
      <c r="T12" s="32" t="n"/>
      <c r="U12" s="14">
        <f>IF(AND(S12="",T12=""),"",N(S12)+N(T12))</f>
        <v/>
      </c>
      <c r="V12" s="23" t="inlineStr">
        <is>
          <t>No</t>
        </is>
      </c>
      <c r="W12" s="23" t="inlineStr">
        <is>
          <t>No</t>
        </is>
      </c>
      <c r="X12" s="23" t="inlineStr">
        <is>
          <t>Partial</t>
        </is>
      </c>
      <c r="Y12" s="23" t="inlineStr">
        <is>
          <t>No</t>
        </is>
      </c>
      <c r="Z12" s="22" t="n"/>
      <c r="AA12" s="25" t="n">
        <v>14</v>
      </c>
      <c r="AB12" s="23" t="inlineStr">
        <is>
          <t>Medium</t>
        </is>
      </c>
      <c r="AC12" s="23" t="inlineStr">
        <is>
          <t>Medium</t>
        </is>
      </c>
      <c r="AD12" s="23" t="inlineStr">
        <is>
          <t>Partial</t>
        </is>
      </c>
      <c r="AE12" s="23" t="inlineStr">
        <is>
          <t>Retire</t>
        </is>
      </c>
      <c r="AF12" s="23" t="inlineStr">
        <is>
          <t>31–90 days</t>
        </is>
      </c>
      <c r="AG12" s="23" t="inlineStr">
        <is>
          <t>Scoping</t>
        </is>
      </c>
      <c r="AH12" s="22" t="n"/>
    </row>
    <row r="13">
      <c r="B13" s="23" t="n"/>
      <c r="C13" s="22" t="n"/>
      <c r="D13" s="22" t="n"/>
      <c r="E13" s="23" t="n"/>
      <c r="F13" s="23" t="n"/>
      <c r="G13" s="25" t="n"/>
      <c r="H13" s="25" t="n"/>
      <c r="I13" s="28" t="n"/>
      <c r="J13" s="12">
        <f>IF(OR(H13="",I13=""),"",ROUND(H13*I13,0))</f>
        <v/>
      </c>
      <c r="K13" s="23" t="n"/>
      <c r="L13" s="23" t="n"/>
      <c r="M13" s="25" t="n"/>
      <c r="N13" s="29" t="n"/>
      <c r="O13" s="25" t="n"/>
      <c r="P13" s="12">
        <f>IF(AND(J13="",M13="",O13=""),"",N(M13)+N(J13)*N(N13)+N(O13))</f>
        <v/>
      </c>
      <c r="Q13" s="30">
        <f>IF(P13="","",P13/Lists!$C$18)</f>
        <v/>
      </c>
      <c r="R13" s="31" t="n"/>
      <c r="S13" s="14">
        <f>IF(OR(P13="",R13=""),"",P13*R13)</f>
        <v/>
      </c>
      <c r="T13" s="32" t="n"/>
      <c r="U13" s="14">
        <f>IF(AND(S13="",T13=""),"",N(S13)+N(T13))</f>
        <v/>
      </c>
      <c r="V13" s="23" t="n"/>
      <c r="W13" s="23" t="n"/>
      <c r="X13" s="23" t="n"/>
      <c r="Y13" s="23" t="n"/>
      <c r="Z13" s="22" t="n"/>
      <c r="AA13" s="25" t="n"/>
      <c r="AB13" s="23" t="n"/>
      <c r="AC13" s="23" t="n"/>
      <c r="AD13" s="23" t="n"/>
      <c r="AE13" s="23" t="n"/>
      <c r="AF13" s="23" t="n"/>
      <c r="AG13" s="23" t="n"/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Pre-Sales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Partners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Portal</t>
        </is>
      </c>
      <c r="C10" s="22" t="inlineStr">
        <is>
          <t>Partner portal pages</t>
        </is>
      </c>
      <c r="D10" s="22" t="inlineStr">
        <is>
          <t>Partner pages and deal registration</t>
        </is>
      </c>
      <c r="E10" s="23" t="inlineStr">
        <is>
          <t>Partner manager</t>
        </is>
      </c>
      <c r="F10" s="23" t="inlineStr">
        <is>
          <t>Partner portal</t>
        </is>
      </c>
      <c r="G10" s="25" t="n">
        <v>250</v>
      </c>
      <c r="H10" s="25" t="n">
        <v>188</v>
      </c>
      <c r="I10" s="28" t="n">
        <v>1</v>
      </c>
      <c r="J10" s="12">
        <f>IF(OR(H10="",I10=""),"",ROUND(H10*I10,0))</f>
        <v/>
      </c>
      <c r="K10" s="23" t="inlineStr">
        <is>
          <t>Visual update</t>
        </is>
      </c>
      <c r="L10" s="23" t="inlineStr">
        <is>
          <t>Medium</t>
        </is>
      </c>
      <c r="M10" s="25" t="n">
        <v>8</v>
      </c>
      <c r="N10" s="29" t="n">
        <v>1</v>
      </c>
      <c r="O10" s="25" t="n">
        <v>2</v>
      </c>
      <c r="P10" s="12">
        <f>IF(AND(J10="",M10="",O10=""),"",N(M10)+N(J10)*N(N10)+N(O10))</f>
        <v/>
      </c>
      <c r="Q10" s="30">
        <f>IF(P10="","",P10/Lists!$C$18)</f>
        <v/>
      </c>
      <c r="R10" s="31" t="n">
        <v>85</v>
      </c>
      <c r="S10" s="14">
        <f>IF(OR(P10="",R10=""),"",P10*R10)</f>
        <v/>
      </c>
      <c r="T10" s="32" t="n"/>
      <c r="U10" s="14">
        <f>IF(AND(S10="",T10=""),"",N(S10)+N(T10))</f>
        <v/>
      </c>
      <c r="V10" s="23" t="inlineStr">
        <is>
          <t>Partial</t>
        </is>
      </c>
      <c r="W10" s="23" t="inlineStr">
        <is>
          <t>No</t>
        </is>
      </c>
      <c r="X10" s="23" t="inlineStr">
        <is>
          <t>Partial</t>
        </is>
      </c>
      <c r="Y10" s="23" t="inlineStr">
        <is>
          <t>Yes</t>
        </is>
      </c>
      <c r="Z10" s="22" t="inlineStr">
        <is>
          <t>Platform choice confirmed</t>
        </is>
      </c>
      <c r="AA10" s="25" t="n">
        <v>5</v>
      </c>
      <c r="AB10" s="23" t="inlineStr">
        <is>
          <t>High</t>
        </is>
      </c>
      <c r="AC10" s="23" t="inlineStr">
        <is>
          <t>Medium</t>
        </is>
      </c>
      <c r="AD10" s="23" t="inlineStr">
        <is>
          <t>Partial</t>
        </is>
      </c>
      <c r="AE10" s="23" t="inlineStr">
        <is>
          <t>Update</t>
        </is>
      </c>
      <c r="AF10" s="23" t="inlineStr">
        <is>
          <t>Before cutover</t>
        </is>
      </c>
      <c r="AG10" s="23" t="inlineStr">
        <is>
          <t>Scoping</t>
        </is>
      </c>
      <c r="AH10" s="22" t="inlineStr">
        <is>
          <t>Example row: replace with your own estimate.</t>
        </is>
      </c>
    </row>
    <row r="11">
      <c r="B11" s="23" t="inlineStr">
        <is>
          <t>Enablement</t>
        </is>
      </c>
      <c r="C11" s="22" t="inlineStr">
        <is>
          <t>Partner training</t>
        </is>
      </c>
      <c r="D11" s="22" t="inlineStr">
        <is>
          <t>Partner courses and certifications</t>
        </is>
      </c>
      <c r="E11" s="23" t="inlineStr">
        <is>
          <t>Partner enablement</t>
        </is>
      </c>
      <c r="F11" s="23" t="inlineStr">
        <is>
          <t>Learning platform</t>
        </is>
      </c>
      <c r="G11" s="25" t="n">
        <v>250</v>
      </c>
      <c r="H11" s="25" t="n">
        <v>150</v>
      </c>
      <c r="I11" s="28" t="n">
        <v>0.75</v>
      </c>
      <c r="J11" s="12">
        <f>IF(OR(H11="",I11=""),"",ROUND(H11*I11,0))</f>
        <v/>
      </c>
      <c r="K11" s="23" t="inlineStr">
        <is>
          <t>URL / link</t>
        </is>
      </c>
      <c r="L11" s="23" t="inlineStr">
        <is>
          <t>Medium</t>
        </is>
      </c>
      <c r="M11" s="25" t="n">
        <v>4</v>
      </c>
      <c r="N11" s="29" t="n">
        <v>4</v>
      </c>
      <c r="O11" s="25" t="n">
        <v>4</v>
      </c>
      <c r="P11" s="12">
        <f>IF(AND(J11="",M11="",O11=""),"",N(M11)+N(J11)*N(N11)+N(O11))</f>
        <v/>
      </c>
      <c r="Q11" s="30">
        <f>IF(P11="","",P11/Lists!$C$18)</f>
        <v/>
      </c>
      <c r="R11" s="31" t="n"/>
      <c r="S11" s="14">
        <f>IF(OR(P11="",R11=""),"",P11*R11)</f>
        <v/>
      </c>
      <c r="T11" s="32" t="n">
        <v>12000</v>
      </c>
      <c r="U11" s="14">
        <f>IF(AND(S11="",T11=""),"",N(S11)+N(T11))</f>
        <v/>
      </c>
      <c r="V11" s="23" t="inlineStr">
        <is>
          <t>No</t>
        </is>
      </c>
      <c r="W11" s="23" t="inlineStr">
        <is>
          <t>Yes</t>
        </is>
      </c>
      <c r="X11" s="23" t="inlineStr">
        <is>
          <t>No</t>
        </is>
      </c>
      <c r="Y11" s="23" t="inlineStr">
        <is>
          <t>No</t>
        </is>
      </c>
      <c r="Z11" s="22" t="n"/>
      <c r="AA11" s="25" t="n">
        <v>14</v>
      </c>
      <c r="AB11" s="23" t="inlineStr">
        <is>
          <t>High</t>
        </is>
      </c>
      <c r="AC11" s="23" t="inlineStr">
        <is>
          <t>Medium</t>
        </is>
      </c>
      <c r="AD11" s="23" t="inlineStr">
        <is>
          <t>No</t>
        </is>
      </c>
      <c r="AE11" s="23" t="inlineStr">
        <is>
          <t>Update</t>
        </is>
      </c>
      <c r="AF11" s="23" t="inlineStr">
        <is>
          <t>31–90 days</t>
        </is>
      </c>
      <c r="AG11" s="23" t="inlineStr">
        <is>
          <t>Scoping</t>
        </is>
      </c>
      <c r="AH11" s="22" t="n"/>
    </row>
    <row r="12">
      <c r="B12" s="23" t="inlineStr">
        <is>
          <t>Marketplace</t>
        </is>
      </c>
      <c r="C12" s="22" t="inlineStr">
        <is>
          <t>Marketplace listings</t>
        </is>
      </c>
      <c r="D12" s="22" t="inlineStr">
        <is>
          <t>Third-party listings that link to the site</t>
        </is>
      </c>
      <c r="E12" s="23" t="inlineStr">
        <is>
          <t>Partner manager</t>
        </is>
      </c>
      <c r="F12" s="23" t="inlineStr">
        <is>
          <t>Marketplaces</t>
        </is>
      </c>
      <c r="G12" s="25" t="n">
        <v>60</v>
      </c>
      <c r="H12" s="25" t="n">
        <v>54</v>
      </c>
      <c r="I12" s="28" t="n">
        <v>1</v>
      </c>
      <c r="J12" s="12">
        <f>IF(OR(H12="",I12=""),"",ROUND(H12*I12,0))</f>
        <v/>
      </c>
      <c r="K12" s="23" t="inlineStr">
        <is>
          <t>Legal text</t>
        </is>
      </c>
      <c r="L12" s="23" t="inlineStr">
        <is>
          <t>Medium</t>
        </is>
      </c>
      <c r="M12" s="25" t="n">
        <v>4</v>
      </c>
      <c r="N12" s="29" t="n">
        <v>0.5</v>
      </c>
      <c r="O12" s="25" t="n">
        <v>8</v>
      </c>
      <c r="P12" s="12">
        <f>IF(AND(J12="",M12="",O12=""),"",N(M12)+N(J12)*N(N12)+N(O12))</f>
        <v/>
      </c>
      <c r="Q12" s="30">
        <f>IF(P12="","",P12/Lists!$C$18)</f>
        <v/>
      </c>
      <c r="R12" s="31" t="n">
        <v>85</v>
      </c>
      <c r="S12" s="14">
        <f>IF(OR(P12="",R12=""),"",P12*R12)</f>
        <v/>
      </c>
      <c r="T12" s="32" t="n"/>
      <c r="U12" s="14">
        <f>IF(AND(S12="",T12=""),"",N(S12)+N(T12))</f>
        <v/>
      </c>
      <c r="V12" s="23" t="inlineStr">
        <is>
          <t>No</t>
        </is>
      </c>
      <c r="W12" s="23" t="inlineStr">
        <is>
          <t>No</t>
        </is>
      </c>
      <c r="X12" s="23" t="inlineStr">
        <is>
          <t>No</t>
        </is>
      </c>
      <c r="Y12" s="23" t="inlineStr">
        <is>
          <t>Yes</t>
        </is>
      </c>
      <c r="Z12" s="22" t="n"/>
      <c r="AA12" s="25" t="n">
        <v>60</v>
      </c>
      <c r="AB12" s="23" t="inlineStr">
        <is>
          <t>High</t>
        </is>
      </c>
      <c r="AC12" s="23" t="inlineStr">
        <is>
          <t>Medium</t>
        </is>
      </c>
      <c r="AD12" s="23" t="inlineStr">
        <is>
          <t>No</t>
        </is>
      </c>
      <c r="AE12" s="23" t="inlineStr">
        <is>
          <t>Redirect</t>
        </is>
      </c>
      <c r="AF12" s="23" t="inlineStr">
        <is>
          <t>Before cutover</t>
        </is>
      </c>
      <c r="AG12" s="23" t="inlineStr">
        <is>
          <t>Not started</t>
        </is>
      </c>
      <c r="AH12" s="22" t="n"/>
    </row>
    <row r="13">
      <c r="B13" s="23" t="n"/>
      <c r="C13" s="22" t="n"/>
      <c r="D13" s="22" t="n"/>
      <c r="E13" s="23" t="n"/>
      <c r="F13" s="23" t="n"/>
      <c r="G13" s="25" t="n"/>
      <c r="H13" s="25" t="n"/>
      <c r="I13" s="28" t="n"/>
      <c r="J13" s="12">
        <f>IF(OR(H13="",I13=""),"",ROUND(H13*I13,0))</f>
        <v/>
      </c>
      <c r="K13" s="23" t="n"/>
      <c r="L13" s="23" t="n"/>
      <c r="M13" s="25" t="n"/>
      <c r="N13" s="29" t="n"/>
      <c r="O13" s="25" t="n"/>
      <c r="P13" s="12">
        <f>IF(AND(J13="",M13="",O13=""),"",N(M13)+N(J13)*N(N13)+N(O13))</f>
        <v/>
      </c>
      <c r="Q13" s="30">
        <f>IF(P13="","",P13/Lists!$C$18)</f>
        <v/>
      </c>
      <c r="R13" s="31" t="n"/>
      <c r="S13" s="14">
        <f>IF(OR(P13="",R13=""),"",P13*R13)</f>
        <v/>
      </c>
      <c r="T13" s="32" t="n"/>
      <c r="U13" s="14">
        <f>IF(AND(S13="",T13=""),"",N(S13)+N(T13))</f>
        <v/>
      </c>
      <c r="V13" s="23" t="n"/>
      <c r="W13" s="23" t="n"/>
      <c r="X13" s="23" t="n"/>
      <c r="Y13" s="23" t="n"/>
      <c r="Z13" s="22" t="n"/>
      <c r="AA13" s="25" t="n"/>
      <c r="AB13" s="23" t="n"/>
      <c r="AC13" s="23" t="n"/>
      <c r="AD13" s="23" t="n"/>
      <c r="AE13" s="23" t="n"/>
      <c r="AF13" s="23" t="n"/>
      <c r="AG13" s="23" t="n"/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Partners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HR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Recruiting</t>
        </is>
      </c>
      <c r="C10" s="22" t="inlineStr">
        <is>
          <t>Careers pages</t>
        </is>
      </c>
      <c r="D10" s="22" t="inlineStr">
        <is>
          <t>Job listings and the careers site</t>
        </is>
      </c>
      <c r="E10" s="23" t="inlineStr">
        <is>
          <t>Talent lead</t>
        </is>
      </c>
      <c r="F10" s="23" t="inlineStr">
        <is>
          <t>Applicant tracking</t>
        </is>
      </c>
      <c r="G10" s="25" t="n">
        <v>800</v>
      </c>
      <c r="H10" s="25" t="n">
        <v>720</v>
      </c>
      <c r="I10" s="28" t="n">
        <v>0.75</v>
      </c>
      <c r="J10" s="12">
        <f>IF(OR(H10="",I10=""),"",ROUND(H10*I10,0))</f>
        <v/>
      </c>
      <c r="K10" s="23" t="inlineStr">
        <is>
          <t>Full rebuild</t>
        </is>
      </c>
      <c r="L10" s="23" t="inlineStr">
        <is>
          <t>Critical</t>
        </is>
      </c>
      <c r="M10" s="25" t="n">
        <v>24</v>
      </c>
      <c r="N10" s="29" t="n">
        <v>0.25</v>
      </c>
      <c r="O10" s="25" t="n">
        <v>16</v>
      </c>
      <c r="P10" s="12">
        <f>IF(AND(J10="",M10="",O10=""),"",N(M10)+N(J10)*N(N10)+N(O10))</f>
        <v/>
      </c>
      <c r="Q10" s="30">
        <f>IF(P10="","",P10/Lists!$C$18)</f>
        <v/>
      </c>
      <c r="R10" s="31" t="n"/>
      <c r="S10" s="14">
        <f>IF(OR(P10="",R10=""),"",P10*R10)</f>
        <v/>
      </c>
      <c r="T10" s="32" t="n"/>
      <c r="U10" s="14">
        <f>IF(AND(S10="",T10=""),"",N(S10)+N(T10))</f>
        <v/>
      </c>
      <c r="V10" s="23" t="inlineStr">
        <is>
          <t>No</t>
        </is>
      </c>
      <c r="W10" s="23" t="inlineStr">
        <is>
          <t>Yes</t>
        </is>
      </c>
      <c r="X10" s="23" t="inlineStr">
        <is>
          <t>Yes</t>
        </is>
      </c>
      <c r="Y10" s="23" t="inlineStr">
        <is>
          <t>Yes</t>
        </is>
      </c>
      <c r="Z10" s="22" t="inlineStr">
        <is>
          <t>Platform choice confirmed</t>
        </is>
      </c>
      <c r="AA10" s="25" t="n">
        <v>45</v>
      </c>
      <c r="AB10" s="23" t="inlineStr">
        <is>
          <t>Medium</t>
        </is>
      </c>
      <c r="AC10" s="23" t="inlineStr">
        <is>
          <t>Critical</t>
        </is>
      </c>
      <c r="AD10" s="23" t="inlineStr">
        <is>
          <t>Yes</t>
        </is>
      </c>
      <c r="AE10" s="23" t="inlineStr">
        <is>
          <t>Redirect</t>
        </is>
      </c>
      <c r="AF10" s="23" t="inlineStr">
        <is>
          <t>Before cutover</t>
        </is>
      </c>
      <c r="AG10" s="23" t="inlineStr">
        <is>
          <t>Validated</t>
        </is>
      </c>
      <c r="AH10" s="22" t="inlineStr">
        <is>
          <t>Example row: replace with your own estimate.</t>
        </is>
      </c>
    </row>
    <row r="11">
      <c r="B11" s="23" t="inlineStr">
        <is>
          <t>Employees</t>
        </is>
      </c>
      <c r="C11" s="22" t="inlineStr">
        <is>
          <t>Handbook links</t>
        </is>
      </c>
      <c r="D11" s="22" t="inlineStr">
        <is>
          <t>Handbook pages that link to internal tools</t>
        </is>
      </c>
      <c r="E11" s="23" t="inlineStr">
        <is>
          <t>HR operations</t>
        </is>
      </c>
      <c r="F11" s="23" t="inlineStr">
        <is>
          <t>HR system</t>
        </is>
      </c>
      <c r="G11" s="25" t="n">
        <v>120</v>
      </c>
      <c r="H11" s="25" t="n">
        <v>108</v>
      </c>
      <c r="I11" s="28" t="n">
        <v>0.5</v>
      </c>
      <c r="J11" s="12">
        <f>IF(OR(H11="",I11=""),"",ROUND(H11*I11,0))</f>
        <v/>
      </c>
      <c r="K11" s="23" t="inlineStr">
        <is>
          <t>Legal text</t>
        </is>
      </c>
      <c r="L11" s="23" t="inlineStr">
        <is>
          <t>High</t>
        </is>
      </c>
      <c r="M11" s="25" t="n">
        <v>8</v>
      </c>
      <c r="N11" s="29" t="n">
        <v>1</v>
      </c>
      <c r="O11" s="25" t="n">
        <v>8</v>
      </c>
      <c r="P11" s="12">
        <f>IF(AND(J11="",M11="",O11=""),"",N(M11)+N(J11)*N(N11)+N(O11))</f>
        <v/>
      </c>
      <c r="Q11" s="30">
        <f>IF(P11="","",P11/Lists!$C$18)</f>
        <v/>
      </c>
      <c r="R11" s="31" t="n"/>
      <c r="S11" s="14">
        <f>IF(OR(P11="",R11=""),"",P11*R11)</f>
        <v/>
      </c>
      <c r="T11" s="32" t="n"/>
      <c r="U11" s="14">
        <f>IF(AND(S11="",T11=""),"",N(S11)+N(T11))</f>
        <v/>
      </c>
      <c r="V11" s="23" t="inlineStr">
        <is>
          <t>Partial</t>
        </is>
      </c>
      <c r="W11" s="23" t="inlineStr">
        <is>
          <t>No</t>
        </is>
      </c>
      <c r="X11" s="23" t="inlineStr">
        <is>
          <t>Partial</t>
        </is>
      </c>
      <c r="Y11" s="23" t="inlineStr">
        <is>
          <t>No</t>
        </is>
      </c>
      <c r="Z11" s="22" t="n"/>
      <c r="AA11" s="25" t="n">
        <v>60</v>
      </c>
      <c r="AB11" s="23" t="inlineStr">
        <is>
          <t>Medium</t>
        </is>
      </c>
      <c r="AC11" s="23" t="inlineStr">
        <is>
          <t>Medium</t>
        </is>
      </c>
      <c r="AD11" s="23" t="inlineStr">
        <is>
          <t>Partial</t>
        </is>
      </c>
      <c r="AE11" s="23" t="inlineStr">
        <is>
          <t>Redirect</t>
        </is>
      </c>
      <c r="AF11" s="23" t="inlineStr">
        <is>
          <t>Cutover day</t>
        </is>
      </c>
      <c r="AG11" s="23" t="inlineStr">
        <is>
          <t>Scoping</t>
        </is>
      </c>
      <c r="AH11" s="22" t="n"/>
    </row>
    <row r="12">
      <c r="B12" s="23" t="inlineStr">
        <is>
          <t>Recruiting</t>
        </is>
      </c>
      <c r="C12" s="22" t="inlineStr">
        <is>
          <t>Offer letter templates</t>
        </is>
      </c>
      <c r="D12" s="22" t="inlineStr">
        <is>
          <t>Templates with links to benefits pages</t>
        </is>
      </c>
      <c r="E12" s="23" t="inlineStr">
        <is>
          <t>HR operations</t>
        </is>
      </c>
      <c r="F12" s="23" t="inlineStr">
        <is>
          <t>HR system</t>
        </is>
      </c>
      <c r="G12" s="25" t="n">
        <v>120</v>
      </c>
      <c r="H12" s="25" t="n">
        <v>72</v>
      </c>
      <c r="I12" s="28" t="n">
        <v>1</v>
      </c>
      <c r="J12" s="12">
        <f>IF(OR(H12="",I12=""),"",ROUND(H12*I12,0))</f>
        <v/>
      </c>
      <c r="K12" s="23" t="inlineStr">
        <is>
          <t>Visual update</t>
        </is>
      </c>
      <c r="L12" s="23" t="inlineStr">
        <is>
          <t>High</t>
        </is>
      </c>
      <c r="M12" s="25" t="n">
        <v>4</v>
      </c>
      <c r="N12" s="29" t="n">
        <v>0.5</v>
      </c>
      <c r="O12" s="25" t="n">
        <v>2</v>
      </c>
      <c r="P12" s="12">
        <f>IF(AND(J12="",M12="",O12=""),"",N(M12)+N(J12)*N(N12)+N(O12))</f>
        <v/>
      </c>
      <c r="Q12" s="30">
        <f>IF(P12="","",P12/Lists!$C$18)</f>
        <v/>
      </c>
      <c r="R12" s="31" t="n"/>
      <c r="S12" s="14">
        <f>IF(OR(P12="",R12=""),"",P12*R12)</f>
        <v/>
      </c>
      <c r="T12" s="32" t="n">
        <v>12000</v>
      </c>
      <c r="U12" s="14">
        <f>IF(AND(S12="",T12=""),"",N(S12)+N(T12))</f>
        <v/>
      </c>
      <c r="V12" s="23" t="inlineStr">
        <is>
          <t>Yes</t>
        </is>
      </c>
      <c r="W12" s="23" t="inlineStr">
        <is>
          <t>No</t>
        </is>
      </c>
      <c r="X12" s="23" t="inlineStr">
        <is>
          <t>Partial</t>
        </is>
      </c>
      <c r="Y12" s="23" t="inlineStr">
        <is>
          <t>No</t>
        </is>
      </c>
      <c r="Z12" s="22" t="n"/>
      <c r="AA12" s="25" t="n">
        <v>60</v>
      </c>
      <c r="AB12" s="23" t="inlineStr">
        <is>
          <t>High</t>
        </is>
      </c>
      <c r="AC12" s="23" t="inlineStr">
        <is>
          <t>Medium</t>
        </is>
      </c>
      <c r="AD12" s="23" t="inlineStr">
        <is>
          <t>Partial</t>
        </is>
      </c>
      <c r="AE12" s="23" t="inlineStr">
        <is>
          <t>Update</t>
        </is>
      </c>
      <c r="AF12" s="23" t="inlineStr">
        <is>
          <t>0–30 days</t>
        </is>
      </c>
      <c r="AG12" s="23" t="inlineStr">
        <is>
          <t>Scoping</t>
        </is>
      </c>
      <c r="AH12" s="22" t="n"/>
    </row>
    <row r="13">
      <c r="B13" s="23" t="n"/>
      <c r="C13" s="22" t="n"/>
      <c r="D13" s="22" t="n"/>
      <c r="E13" s="23" t="n"/>
      <c r="F13" s="23" t="n"/>
      <c r="G13" s="25" t="n"/>
      <c r="H13" s="25" t="n"/>
      <c r="I13" s="28" t="n"/>
      <c r="J13" s="12">
        <f>IF(OR(H13="",I13=""),"",ROUND(H13*I13,0))</f>
        <v/>
      </c>
      <c r="K13" s="23" t="n"/>
      <c r="L13" s="23" t="n"/>
      <c r="M13" s="25" t="n"/>
      <c r="N13" s="29" t="n"/>
      <c r="O13" s="25" t="n"/>
      <c r="P13" s="12">
        <f>IF(AND(J13="",M13="",O13=""),"",N(M13)+N(J13)*N(N13)+N(O13))</f>
        <v/>
      </c>
      <c r="Q13" s="30">
        <f>IF(P13="","",P13/Lists!$C$18)</f>
        <v/>
      </c>
      <c r="R13" s="31" t="n"/>
      <c r="S13" s="14">
        <f>IF(OR(P13="",R13=""),"",P13*R13)</f>
        <v/>
      </c>
      <c r="T13" s="32" t="n"/>
      <c r="U13" s="14">
        <f>IF(AND(S13="",T13=""),"",N(S13)+N(T13))</f>
        <v/>
      </c>
      <c r="V13" s="23" t="n"/>
      <c r="W13" s="23" t="n"/>
      <c r="X13" s="23" t="n"/>
      <c r="Y13" s="23" t="n"/>
      <c r="Z13" s="22" t="n"/>
      <c r="AA13" s="25" t="n"/>
      <c r="AB13" s="23" t="n"/>
      <c r="AC13" s="23" t="n"/>
      <c r="AD13" s="23" t="n"/>
      <c r="AE13" s="23" t="n"/>
      <c r="AF13" s="23" t="n"/>
      <c r="AG13" s="23" t="n"/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HR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Finance &amp; Procurement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Billing</t>
        </is>
      </c>
      <c r="C10" s="22" t="inlineStr">
        <is>
          <t>Invoice templates</t>
        </is>
      </c>
      <c r="D10" s="22" t="inlineStr">
        <is>
          <t>Invoices with payment portal links</t>
        </is>
      </c>
      <c r="E10" s="23" t="inlineStr">
        <is>
          <t>Billing lead</t>
        </is>
      </c>
      <c r="F10" s="23" t="inlineStr">
        <is>
          <t>Billing system</t>
        </is>
      </c>
      <c r="G10" s="25" t="n">
        <v>12</v>
      </c>
      <c r="H10" s="25" t="n">
        <v>11</v>
      </c>
      <c r="I10" s="28" t="n">
        <v>0.75</v>
      </c>
      <c r="J10" s="12">
        <f>IF(OR(H10="",I10=""),"",ROUND(H10*I10,0))</f>
        <v/>
      </c>
      <c r="K10" s="23" t="inlineStr">
        <is>
          <t>URL / link</t>
        </is>
      </c>
      <c r="L10" s="23" t="inlineStr">
        <is>
          <t>Medium</t>
        </is>
      </c>
      <c r="M10" s="25" t="n">
        <v>24</v>
      </c>
      <c r="N10" s="29" t="n">
        <v>2</v>
      </c>
      <c r="O10" s="25" t="n">
        <v>2</v>
      </c>
      <c r="P10" s="12">
        <f>IF(AND(J10="",M10="",O10=""),"",N(M10)+N(J10)*N(N10)+N(O10))</f>
        <v/>
      </c>
      <c r="Q10" s="30">
        <f>IF(P10="","",P10/Lists!$C$18)</f>
        <v/>
      </c>
      <c r="R10" s="31" t="n">
        <v>95</v>
      </c>
      <c r="S10" s="14">
        <f>IF(OR(P10="",R10=""),"",P10*R10)</f>
        <v/>
      </c>
      <c r="T10" s="32" t="n">
        <v>12000</v>
      </c>
      <c r="U10" s="14">
        <f>IF(AND(S10="",T10=""),"",N(S10)+N(T10))</f>
        <v/>
      </c>
      <c r="V10" s="23" t="inlineStr">
        <is>
          <t>No</t>
        </is>
      </c>
      <c r="W10" s="23" t="inlineStr">
        <is>
          <t>Yes</t>
        </is>
      </c>
      <c r="X10" s="23" t="inlineStr">
        <is>
          <t>Partial</t>
        </is>
      </c>
      <c r="Y10" s="23" t="inlineStr">
        <is>
          <t>Yes</t>
        </is>
      </c>
      <c r="Z10" s="22" t="inlineStr">
        <is>
          <t>Platform choice confirmed</t>
        </is>
      </c>
      <c r="AA10" s="25" t="n">
        <v>45</v>
      </c>
      <c r="AB10" s="23" t="inlineStr">
        <is>
          <t>High</t>
        </is>
      </c>
      <c r="AC10" s="23" t="inlineStr">
        <is>
          <t>High</t>
        </is>
      </c>
      <c r="AD10" s="23" t="inlineStr">
        <is>
          <t>Yes</t>
        </is>
      </c>
      <c r="AE10" s="23" t="inlineStr">
        <is>
          <t>Redirect</t>
        </is>
      </c>
      <c r="AF10" s="23" t="inlineStr">
        <is>
          <t>0–30 days</t>
        </is>
      </c>
      <c r="AG10" s="23" t="inlineStr">
        <is>
          <t>Not started</t>
        </is>
      </c>
      <c r="AH10" s="22" t="inlineStr">
        <is>
          <t>Example row: replace with your own estimate.</t>
        </is>
      </c>
    </row>
    <row r="11">
      <c r="B11" s="23" t="inlineStr">
        <is>
          <t>Billing</t>
        </is>
      </c>
      <c r="C11" s="22" t="inlineStr">
        <is>
          <t>Payment portal</t>
        </is>
      </c>
      <c r="D11" s="22" t="inlineStr">
        <is>
          <t>Customer payment and account pages</t>
        </is>
      </c>
      <c r="E11" s="23" t="inlineStr">
        <is>
          <t>Billing lead</t>
        </is>
      </c>
      <c r="F11" s="23" t="inlineStr">
        <is>
          <t>Payment platform</t>
        </is>
      </c>
      <c r="G11" s="25" t="n">
        <v>60</v>
      </c>
      <c r="H11" s="25" t="n">
        <v>45</v>
      </c>
      <c r="I11" s="28" t="n">
        <v>0.75</v>
      </c>
      <c r="J11" s="12">
        <f>IF(OR(H11="",I11=""),"",ROUND(H11*I11,0))</f>
        <v/>
      </c>
      <c r="K11" s="23" t="inlineStr">
        <is>
          <t>Legal text</t>
        </is>
      </c>
      <c r="L11" s="23" t="inlineStr">
        <is>
          <t>Critical</t>
        </is>
      </c>
      <c r="M11" s="25" t="n">
        <v>4</v>
      </c>
      <c r="N11" s="29" t="n">
        <v>0.25</v>
      </c>
      <c r="O11" s="25" t="n">
        <v>4</v>
      </c>
      <c r="P11" s="12">
        <f>IF(AND(J11="",M11="",O11=""),"",N(M11)+N(J11)*N(N11)+N(O11))</f>
        <v/>
      </c>
      <c r="Q11" s="30">
        <f>IF(P11="","",P11/Lists!$C$18)</f>
        <v/>
      </c>
      <c r="R11" s="31" t="n">
        <v>85</v>
      </c>
      <c r="S11" s="14">
        <f>IF(OR(P11="",R11=""),"",P11*R11)</f>
        <v/>
      </c>
      <c r="T11" s="32" t="n">
        <v>5000</v>
      </c>
      <c r="U11" s="14">
        <f>IF(AND(S11="",T11=""),"",N(S11)+N(T11))</f>
        <v/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Yes</t>
        </is>
      </c>
      <c r="Z11" s="22" t="n"/>
      <c r="AA11" s="25" t="n">
        <v>60</v>
      </c>
      <c r="AB11" s="23" t="inlineStr">
        <is>
          <t>Medium</t>
        </is>
      </c>
      <c r="AC11" s="23" t="inlineStr">
        <is>
          <t>Low</t>
        </is>
      </c>
      <c r="AD11" s="23" t="inlineStr">
        <is>
          <t>Yes</t>
        </is>
      </c>
      <c r="AE11" s="23" t="inlineStr">
        <is>
          <t>Update</t>
        </is>
      </c>
      <c r="AF11" s="23" t="inlineStr">
        <is>
          <t>0–30 days</t>
        </is>
      </c>
      <c r="AG11" s="23" t="inlineStr">
        <is>
          <t>Scoping</t>
        </is>
      </c>
      <c r="AH11" s="22" t="n"/>
    </row>
    <row r="12">
      <c r="B12" s="23" t="inlineStr">
        <is>
          <t>Procurement</t>
        </is>
      </c>
      <c r="C12" s="22" t="inlineStr">
        <is>
          <t>Vendor onboarding</t>
        </is>
      </c>
      <c r="D12" s="22" t="inlineStr">
        <is>
          <t>Set-up and approvals for the new hosting vendor</t>
        </is>
      </c>
      <c r="E12" s="23" t="inlineStr">
        <is>
          <t>Procurement lead</t>
        </is>
      </c>
      <c r="F12" s="23" t="inlineStr">
        <is>
          <t>Procurement system</t>
        </is>
      </c>
      <c r="G12" s="25" t="n">
        <v>4</v>
      </c>
      <c r="H12" s="25" t="n">
        <v>4</v>
      </c>
      <c r="I12" s="28" t="n">
        <v>0.25</v>
      </c>
      <c r="J12" s="12">
        <f>IF(OR(H12="",I12=""),"",ROUND(H12*I12,0))</f>
        <v/>
      </c>
      <c r="K12" s="23" t="inlineStr">
        <is>
          <t>Full rebuild</t>
        </is>
      </c>
      <c r="L12" s="23" t="inlineStr">
        <is>
          <t>Medium</t>
        </is>
      </c>
      <c r="M12" s="25" t="n">
        <v>8</v>
      </c>
      <c r="N12" s="29" t="n">
        <v>1</v>
      </c>
      <c r="O12" s="25" t="n">
        <v>16</v>
      </c>
      <c r="P12" s="12">
        <f>IF(AND(J12="",M12="",O12=""),"",N(M12)+N(J12)*N(N12)+N(O12))</f>
        <v/>
      </c>
      <c r="Q12" s="30">
        <f>IF(P12="","",P12/Lists!$C$18)</f>
        <v/>
      </c>
      <c r="R12" s="31" t="n"/>
      <c r="S12" s="14">
        <f>IF(OR(P12="",R12=""),"",P12*R12)</f>
        <v/>
      </c>
      <c r="T12" s="32" t="n"/>
      <c r="U12" s="14">
        <f>IF(AND(S12="",T12=""),"",N(S12)+N(T12))</f>
        <v/>
      </c>
      <c r="V12" s="23" t="inlineStr">
        <is>
          <t>Partial</t>
        </is>
      </c>
      <c r="W12" s="23" t="inlineStr">
        <is>
          <t>No</t>
        </is>
      </c>
      <c r="X12" s="23" t="inlineStr">
        <is>
          <t>No</t>
        </is>
      </c>
      <c r="Y12" s="23" t="inlineStr">
        <is>
          <t>No</t>
        </is>
      </c>
      <c r="Z12" s="22" t="n"/>
      <c r="AA12" s="25" t="n">
        <v>60</v>
      </c>
      <c r="AB12" s="23" t="inlineStr">
        <is>
          <t>Critical</t>
        </is>
      </c>
      <c r="AC12" s="23" t="inlineStr">
        <is>
          <t>Low</t>
        </is>
      </c>
      <c r="AD12" s="23" t="inlineStr">
        <is>
          <t>Partial</t>
        </is>
      </c>
      <c r="AE12" s="23" t="inlineStr">
        <is>
          <t>Update</t>
        </is>
      </c>
      <c r="AF12" s="23" t="inlineStr">
        <is>
          <t>31–90 days</t>
        </is>
      </c>
      <c r="AG12" s="23" t="inlineStr">
        <is>
          <t>Not started</t>
        </is>
      </c>
      <c r="AH12" s="22" t="n"/>
    </row>
    <row r="13">
      <c r="B13" s="23" t="n"/>
      <c r="C13" s="22" t="n"/>
      <c r="D13" s="22" t="n"/>
      <c r="E13" s="23" t="n"/>
      <c r="F13" s="23" t="n"/>
      <c r="G13" s="25" t="n"/>
      <c r="H13" s="25" t="n"/>
      <c r="I13" s="28" t="n"/>
      <c r="J13" s="12">
        <f>IF(OR(H13="",I13=""),"",ROUND(H13*I13,0))</f>
        <v/>
      </c>
      <c r="K13" s="23" t="n"/>
      <c r="L13" s="23" t="n"/>
      <c r="M13" s="25" t="n"/>
      <c r="N13" s="29" t="n"/>
      <c r="O13" s="25" t="n"/>
      <c r="P13" s="12">
        <f>IF(AND(J13="",M13="",O13=""),"",N(M13)+N(J13)*N(N13)+N(O13))</f>
        <v/>
      </c>
      <c r="Q13" s="30">
        <f>IF(P13="","",P13/Lists!$C$18)</f>
        <v/>
      </c>
      <c r="R13" s="31" t="n"/>
      <c r="S13" s="14">
        <f>IF(OR(P13="",R13=""),"",P13*R13)</f>
        <v/>
      </c>
      <c r="T13" s="32" t="n"/>
      <c r="U13" s="14">
        <f>IF(AND(S13="",T13=""),"",N(S13)+N(T13))</f>
        <v/>
      </c>
      <c r="V13" s="23" t="n"/>
      <c r="W13" s="23" t="n"/>
      <c r="X13" s="23" t="n"/>
      <c r="Y13" s="23" t="n"/>
      <c r="Z13" s="22" t="n"/>
      <c r="AA13" s="25" t="n"/>
      <c r="AB13" s="23" t="n"/>
      <c r="AC13" s="23" t="n"/>
      <c r="AD13" s="23" t="n"/>
      <c r="AE13" s="23" t="n"/>
      <c r="AF13" s="23" t="n"/>
      <c r="AG13" s="23" t="n"/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Finance &amp; Procurement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AH70"/>
  <sheetViews>
    <sheetView showGridLines="0" zoomScale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0" customWidth="1" min="2" max="2"/>
    <col width="26" customWidth="1" min="3" max="3"/>
    <col width="38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3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2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4" customWidth="1" min="34" max="34"/>
  </cols>
  <sheetData>
    <row r="1" ht="48" customHeight="1">
      <c r="A1" s="1" t="n"/>
      <c r="B1" s="2" t="inlineStr">
        <is>
          <t>Executive &amp; Strategy · scope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asset, system and deliverable this function owns that the program touches. Blue text on white is yours to fill in. Light-blue cells calculate; leave them as they are.</t>
        </is>
      </c>
    </row>
    <row r="6">
      <c r="B6" s="19" t="inlineStr">
        <is>
          <t>Replace the example rows, add what's missing, and mark rows Not applicable instead of deleting them.</t>
        </is>
      </c>
    </row>
    <row r="8" ht="18" customHeight="1">
      <c r="B8" s="26" t="inlineStr">
        <is>
          <t>The item</t>
        </is>
      </c>
      <c r="C8" s="27" t="n"/>
      <c r="D8" s="27" t="n"/>
      <c r="E8" s="27" t="n"/>
      <c r="F8" s="27" t="n"/>
      <c r="G8" s="26" t="inlineStr">
        <is>
          <t>Volume</t>
        </is>
      </c>
      <c r="H8" s="27" t="n"/>
      <c r="I8" s="27" t="n"/>
      <c r="J8" s="27" t="n"/>
      <c r="K8" s="26" t="inlineStr">
        <is>
          <t>Change</t>
        </is>
      </c>
      <c r="L8" s="27" t="n"/>
      <c r="M8" s="26" t="inlineStr">
        <is>
          <t>Effort</t>
        </is>
      </c>
      <c r="N8" s="27" t="n"/>
      <c r="O8" s="27" t="n"/>
      <c r="P8" s="27" t="n"/>
      <c r="Q8" s="27" t="n"/>
      <c r="R8" s="26" t="inlineStr">
        <is>
          <t>Cost</t>
        </is>
      </c>
      <c r="S8" s="27" t="n"/>
      <c r="T8" s="27" t="n"/>
      <c r="U8" s="27" t="n"/>
      <c r="V8" s="26" t="inlineStr">
        <is>
          <t>Readiness</t>
        </is>
      </c>
      <c r="W8" s="27" t="n"/>
      <c r="X8" s="27" t="n"/>
      <c r="Y8" s="27" t="n"/>
      <c r="Z8" s="27" t="n"/>
      <c r="AA8" s="27" t="n"/>
      <c r="AB8" s="26" t="inlineStr">
        <is>
          <t>Risk</t>
        </is>
      </c>
      <c r="AC8" s="27" t="n"/>
      <c r="AD8" s="27" t="n"/>
      <c r="AE8" s="26" t="inlineStr">
        <is>
          <t>Plan</t>
        </is>
      </c>
      <c r="AF8" s="27" t="n"/>
      <c r="AG8" s="27" t="n"/>
      <c r="AH8" s="27" t="n"/>
    </row>
    <row r="9" ht="52" customHeight="1">
      <c r="B9" s="10" t="inlineStr">
        <is>
          <t>Asset category</t>
        </is>
      </c>
      <c r="C9" s="10" t="inlineStr">
        <is>
          <t>Asset or deliverable</t>
        </is>
      </c>
      <c r="D9" s="10" t="inlineStr">
        <is>
          <t>Description or example</t>
        </is>
      </c>
      <c r="E9" s="10" t="inlineStr">
        <is>
          <t>Owner</t>
        </is>
      </c>
      <c r="F9" s="10" t="inlineStr">
        <is>
          <t>System or location</t>
        </is>
      </c>
      <c r="G9" s="10" t="inlineStr">
        <is>
          <t>Total quantity</t>
        </is>
      </c>
      <c r="H9" s="10" t="inlineStr">
        <is>
          <t>Active quantity</t>
        </is>
      </c>
      <c r="I9" s="10" t="inlineStr">
        <is>
          <t>% needing change</t>
        </is>
      </c>
      <c r="J9" s="10" t="inlineStr">
        <is>
          <t>Items to update</t>
        </is>
      </c>
      <c r="K9" s="10" t="inlineStr">
        <is>
          <t>Change type</t>
        </is>
      </c>
      <c r="L9" s="10" t="inlineStr">
        <is>
          <t>Complexity</t>
        </is>
      </c>
      <c r="M9" s="10" t="inlineStr">
        <is>
          <t>One-time setup hours</t>
        </is>
      </c>
      <c r="N9" s="10" t="inlineStr">
        <is>
          <t>Avg hours per item</t>
        </is>
      </c>
      <c r="O9" s="10" t="inlineStr">
        <is>
          <t>QA and review hours</t>
        </is>
      </c>
      <c r="P9" s="10" t="inlineStr">
        <is>
          <t>Total internal hours</t>
        </is>
      </c>
      <c r="Q9" s="10" t="inlineStr">
        <is>
          <t>Internal FTE days</t>
        </is>
      </c>
      <c r="R9" s="10" t="inlineStr">
        <is>
          <t>Blended hourly rate</t>
        </is>
      </c>
      <c r="S9" s="10" t="inlineStr">
        <is>
          <t>Internal cost</t>
        </is>
      </c>
      <c r="T9" s="10" t="inlineStr">
        <is>
          <t>External or vendor cost</t>
        </is>
      </c>
      <c r="U9" s="10" t="inlineStr">
        <is>
          <t>Total estimated cost</t>
        </is>
      </c>
      <c r="V9" s="10" t="inlineStr">
        <is>
          <t>Can bulk update or automate?</t>
        </is>
      </c>
      <c r="W9" s="10" t="inlineStr">
        <is>
          <t>Customer action needed?</t>
        </is>
      </c>
      <c r="X9" s="10" t="inlineStr">
        <is>
          <t>External notice needed?</t>
        </is>
      </c>
      <c r="Y9" s="10" t="inlineStr">
        <is>
          <t>External approval needed?</t>
        </is>
      </c>
      <c r="Z9" s="10" t="inlineStr">
        <is>
          <t>Dependency or prerequisite</t>
        </is>
      </c>
      <c r="AA9" s="10" t="inlineStr">
        <is>
          <t>Lead time (calendar days)</t>
        </is>
      </c>
      <c r="AB9" s="10" t="inlineStr">
        <is>
          <t>Business risk if missed</t>
        </is>
      </c>
      <c r="AC9" s="10" t="inlineStr">
        <is>
          <t>Customer disruption</t>
        </is>
      </c>
      <c r="AD9" s="10" t="inlineStr">
        <is>
          <t>Old and new run side by side?</t>
        </is>
      </c>
      <c r="AE9" s="10" t="inlineStr">
        <is>
          <t>Disposition</t>
        </is>
      </c>
      <c r="AF9" s="10" t="inlineStr">
        <is>
          <t>Required timing</t>
        </is>
      </c>
      <c r="AG9" s="10" t="inlineStr">
        <is>
          <t>Status</t>
        </is>
      </c>
      <c r="AH9" s="10" t="inlineStr">
        <is>
          <t>Notes and assumptions</t>
        </is>
      </c>
    </row>
    <row r="10">
      <c r="B10" s="23" t="inlineStr">
        <is>
          <t>Governance</t>
        </is>
      </c>
      <c r="C10" s="22" t="inlineStr">
        <is>
          <t>Steering committee pack</t>
        </is>
      </c>
      <c r="D10" s="22" t="inlineStr">
        <is>
          <t>Program updates and decisions</t>
        </is>
      </c>
      <c r="E10" s="23" t="inlineStr">
        <is>
          <t>Chief of staff</t>
        </is>
      </c>
      <c r="F10" s="23" t="inlineStr">
        <is>
          <t>Shared drive</t>
        </is>
      </c>
      <c r="G10" s="25" t="n">
        <v>40</v>
      </c>
      <c r="H10" s="25" t="n">
        <v>24</v>
      </c>
      <c r="I10" s="28" t="n">
        <v>1</v>
      </c>
      <c r="J10" s="12">
        <f>IF(OR(H10="",I10=""),"",ROUND(H10*I10,0))</f>
        <v/>
      </c>
      <c r="K10" s="23" t="inlineStr">
        <is>
          <t>Full rebuild</t>
        </is>
      </c>
      <c r="L10" s="23" t="inlineStr">
        <is>
          <t>Medium</t>
        </is>
      </c>
      <c r="M10" s="25" t="n">
        <v>16</v>
      </c>
      <c r="N10" s="29" t="n">
        <v>0.5</v>
      </c>
      <c r="O10" s="25" t="n">
        <v>8</v>
      </c>
      <c r="P10" s="12">
        <f>IF(AND(J10="",M10="",O10=""),"",N(M10)+N(J10)*N(N10)+N(O10))</f>
        <v/>
      </c>
      <c r="Q10" s="30">
        <f>IF(P10="","",P10/Lists!$C$18)</f>
        <v/>
      </c>
      <c r="R10" s="31" t="n">
        <v>95</v>
      </c>
      <c r="S10" s="14">
        <f>IF(OR(P10="",R10=""),"",P10*R10)</f>
        <v/>
      </c>
      <c r="T10" s="32" t="n">
        <v>30000</v>
      </c>
      <c r="U10" s="14">
        <f>IF(AND(S10="",T10=""),"",N(S10)+N(T10))</f>
        <v/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2" t="inlineStr">
        <is>
          <t>Platform choice confirmed</t>
        </is>
      </c>
      <c r="AA10" s="25" t="n">
        <v>14</v>
      </c>
      <c r="AB10" s="23" t="inlineStr">
        <is>
          <t>Medium</t>
        </is>
      </c>
      <c r="AC10" s="23" t="inlineStr">
        <is>
          <t>Critical</t>
        </is>
      </c>
      <c r="AD10" s="23" t="inlineStr">
        <is>
          <t>Partial</t>
        </is>
      </c>
      <c r="AE10" s="23" t="inlineStr">
        <is>
          <t>Retire</t>
        </is>
      </c>
      <c r="AF10" s="23" t="inlineStr">
        <is>
          <t>Cutover day</t>
        </is>
      </c>
      <c r="AG10" s="23" t="inlineStr">
        <is>
          <t>Validated</t>
        </is>
      </c>
      <c r="AH10" s="22" t="inlineStr">
        <is>
          <t>Example row: replace with your own estimate.</t>
        </is>
      </c>
    </row>
    <row r="11">
      <c r="B11" s="23" t="inlineStr">
        <is>
          <t>Communications</t>
        </is>
      </c>
      <c r="C11" s="22" t="inlineStr">
        <is>
          <t>Board update</t>
        </is>
      </c>
      <c r="D11" s="22" t="inlineStr">
        <is>
          <t>Summary of timing, cost and risk</t>
        </is>
      </c>
      <c r="E11" s="23" t="inlineStr">
        <is>
          <t>Chief of staff</t>
        </is>
      </c>
      <c r="F11" s="23" t="inlineStr">
        <is>
          <t>Board portal</t>
        </is>
      </c>
      <c r="G11" s="25" t="n">
        <v>250</v>
      </c>
      <c r="H11" s="25" t="n">
        <v>225</v>
      </c>
      <c r="I11" s="28" t="n">
        <v>0.75</v>
      </c>
      <c r="J11" s="12">
        <f>IF(OR(H11="",I11=""),"",ROUND(H11*I11,0))</f>
        <v/>
      </c>
      <c r="K11" s="23" t="inlineStr">
        <is>
          <t>Technical configuration</t>
        </is>
      </c>
      <c r="L11" s="23" t="inlineStr">
        <is>
          <t>Medium</t>
        </is>
      </c>
      <c r="M11" s="25" t="n">
        <v>4</v>
      </c>
      <c r="N11" s="29" t="n">
        <v>4</v>
      </c>
      <c r="O11" s="25" t="n">
        <v>8</v>
      </c>
      <c r="P11" s="12">
        <f>IF(AND(J11="",M11="",O11=""),"",N(M11)+N(J11)*N(N11)+N(O11))</f>
        <v/>
      </c>
      <c r="Q11" s="30">
        <f>IF(P11="","",P11/Lists!$C$18)</f>
        <v/>
      </c>
      <c r="R11" s="31" t="n"/>
      <c r="S11" s="14">
        <f>IF(OR(P11="",R11=""),"",P11*R11)</f>
        <v/>
      </c>
      <c r="T11" s="32" t="n">
        <v>5000</v>
      </c>
      <c r="U11" s="14">
        <f>IF(AND(S11="",T11=""),"",N(S11)+N(T11))</f>
        <v/>
      </c>
      <c r="V11" s="23" t="inlineStr">
        <is>
          <t>No</t>
        </is>
      </c>
      <c r="W11" s="23" t="inlineStr">
        <is>
          <t>Yes</t>
        </is>
      </c>
      <c r="X11" s="23" t="inlineStr">
        <is>
          <t>Partial</t>
        </is>
      </c>
      <c r="Y11" s="23" t="inlineStr">
        <is>
          <t>No</t>
        </is>
      </c>
      <c r="Z11" s="22" t="n"/>
      <c r="AA11" s="25" t="n">
        <v>60</v>
      </c>
      <c r="AB11" s="23" t="inlineStr">
        <is>
          <t>Critical</t>
        </is>
      </c>
      <c r="AC11" s="23" t="inlineStr">
        <is>
          <t>Critical</t>
        </is>
      </c>
      <c r="AD11" s="23" t="inlineStr">
        <is>
          <t>No</t>
        </is>
      </c>
      <c r="AE11" s="23" t="inlineStr">
        <is>
          <t>Update</t>
        </is>
      </c>
      <c r="AF11" s="23" t="inlineStr">
        <is>
          <t>Before cutover</t>
        </is>
      </c>
      <c r="AG11" s="23" t="inlineStr">
        <is>
          <t>Not started</t>
        </is>
      </c>
      <c r="AH11" s="22" t="n"/>
    </row>
    <row r="12">
      <c r="B12" s="23" t="inlineStr">
        <is>
          <t>Communications</t>
        </is>
      </c>
      <c r="C12" s="22" t="inlineStr">
        <is>
          <t>All-hands announcement</t>
        </is>
      </c>
      <c r="D12" s="22" t="inlineStr">
        <is>
          <t>Internal launch announcement</t>
        </is>
      </c>
      <c r="E12" s="23" t="inlineStr">
        <is>
          <t>Internal comms lead</t>
        </is>
      </c>
      <c r="F12" s="23" t="inlineStr">
        <is>
          <t>Intranet</t>
        </is>
      </c>
      <c r="G12" s="25" t="n">
        <v>4</v>
      </c>
      <c r="H12" s="25" t="n">
        <v>4</v>
      </c>
      <c r="I12" s="28" t="n">
        <v>0.5</v>
      </c>
      <c r="J12" s="12">
        <f>IF(OR(H12="",I12=""),"",ROUND(H12*I12,0))</f>
        <v/>
      </c>
      <c r="K12" s="23" t="inlineStr">
        <is>
          <t>Content update</t>
        </is>
      </c>
      <c r="L12" s="23" t="inlineStr">
        <is>
          <t>Critical</t>
        </is>
      </c>
      <c r="M12" s="25" t="n">
        <v>16</v>
      </c>
      <c r="N12" s="29" t="n">
        <v>0.5</v>
      </c>
      <c r="O12" s="25" t="n">
        <v>16</v>
      </c>
      <c r="P12" s="12">
        <f>IF(AND(J12="",M12="",O12=""),"",N(M12)+N(J12)*N(N12)+N(O12))</f>
        <v/>
      </c>
      <c r="Q12" s="30">
        <f>IF(P12="","",P12/Lists!$C$18)</f>
        <v/>
      </c>
      <c r="R12" s="31" t="n">
        <v>95</v>
      </c>
      <c r="S12" s="14">
        <f>IF(OR(P12="",R12=""),"",P12*R12)</f>
        <v/>
      </c>
      <c r="T12" s="32" t="n">
        <v>30000</v>
      </c>
      <c r="U12" s="14">
        <f>IF(AND(S12="",T12=""),"",N(S12)+N(T12))</f>
        <v/>
      </c>
      <c r="V12" s="23" t="inlineStr">
        <is>
          <t>No</t>
        </is>
      </c>
      <c r="W12" s="23" t="inlineStr">
        <is>
          <t>No</t>
        </is>
      </c>
      <c r="X12" s="23" t="inlineStr">
        <is>
          <t>No</t>
        </is>
      </c>
      <c r="Y12" s="23" t="inlineStr">
        <is>
          <t>No</t>
        </is>
      </c>
      <c r="Z12" s="22" t="n"/>
      <c r="AA12" s="25" t="n">
        <v>14</v>
      </c>
      <c r="AB12" s="23" t="inlineStr">
        <is>
          <t>Medium</t>
        </is>
      </c>
      <c r="AC12" s="23" t="inlineStr">
        <is>
          <t>Medium</t>
        </is>
      </c>
      <c r="AD12" s="23" t="inlineStr">
        <is>
          <t>No</t>
        </is>
      </c>
      <c r="AE12" s="23" t="inlineStr">
        <is>
          <t>Retire</t>
        </is>
      </c>
      <c r="AF12" s="23" t="inlineStr">
        <is>
          <t>31–90 days</t>
        </is>
      </c>
      <c r="AG12" s="23" t="inlineStr">
        <is>
          <t>Not started</t>
        </is>
      </c>
      <c r="AH12" s="22" t="n"/>
    </row>
    <row r="13">
      <c r="B13" s="23" t="n"/>
      <c r="C13" s="22" t="n"/>
      <c r="D13" s="22" t="n"/>
      <c r="E13" s="23" t="n"/>
      <c r="F13" s="23" t="n"/>
      <c r="G13" s="25" t="n"/>
      <c r="H13" s="25" t="n"/>
      <c r="I13" s="28" t="n"/>
      <c r="J13" s="12">
        <f>IF(OR(H13="",I13=""),"",ROUND(H13*I13,0))</f>
        <v/>
      </c>
      <c r="K13" s="23" t="n"/>
      <c r="L13" s="23" t="n"/>
      <c r="M13" s="25" t="n"/>
      <c r="N13" s="29" t="n"/>
      <c r="O13" s="25" t="n"/>
      <c r="P13" s="12">
        <f>IF(AND(J13="",M13="",O13=""),"",N(M13)+N(J13)*N(N13)+N(O13))</f>
        <v/>
      </c>
      <c r="Q13" s="30">
        <f>IF(P13="","",P13/Lists!$C$18)</f>
        <v/>
      </c>
      <c r="R13" s="31" t="n"/>
      <c r="S13" s="14">
        <f>IF(OR(P13="",R13=""),"",P13*R13)</f>
        <v/>
      </c>
      <c r="T13" s="32" t="n"/>
      <c r="U13" s="14">
        <f>IF(AND(S13="",T13=""),"",N(S13)+N(T13))</f>
        <v/>
      </c>
      <c r="V13" s="23" t="n"/>
      <c r="W13" s="23" t="n"/>
      <c r="X13" s="23" t="n"/>
      <c r="Y13" s="23" t="n"/>
      <c r="Z13" s="22" t="n"/>
      <c r="AA13" s="25" t="n"/>
      <c r="AB13" s="23" t="n"/>
      <c r="AC13" s="23" t="n"/>
      <c r="AD13" s="23" t="n"/>
      <c r="AE13" s="23" t="n"/>
      <c r="AF13" s="23" t="n"/>
      <c r="AG13" s="23" t="n"/>
      <c r="AH13" s="22" t="n"/>
    </row>
    <row r="14">
      <c r="B14" s="23" t="n"/>
      <c r="C14" s="22" t="n"/>
      <c r="D14" s="22" t="n"/>
      <c r="E14" s="23" t="n"/>
      <c r="F14" s="23" t="n"/>
      <c r="G14" s="25" t="n"/>
      <c r="H14" s="25" t="n"/>
      <c r="I14" s="28" t="n"/>
      <c r="J14" s="12">
        <f>IF(OR(H14="",I14=""),"",ROUND(H14*I14,0))</f>
        <v/>
      </c>
      <c r="K14" s="23" t="n"/>
      <c r="L14" s="23" t="n"/>
      <c r="M14" s="25" t="n"/>
      <c r="N14" s="29" t="n"/>
      <c r="O14" s="25" t="n"/>
      <c r="P14" s="12">
        <f>IF(AND(J14="",M14="",O14=""),"",N(M14)+N(J14)*N(N14)+N(O14))</f>
        <v/>
      </c>
      <c r="Q14" s="30">
        <f>IF(P14="","",P14/Lists!$C$18)</f>
        <v/>
      </c>
      <c r="R14" s="31" t="n"/>
      <c r="S14" s="14">
        <f>IF(OR(P14="",R14=""),"",P14*R14)</f>
        <v/>
      </c>
      <c r="T14" s="32" t="n"/>
      <c r="U14" s="14">
        <f>IF(AND(S14="",T14=""),"",N(S14)+N(T14))</f>
        <v/>
      </c>
      <c r="V14" s="23" t="n"/>
      <c r="W14" s="23" t="n"/>
      <c r="X14" s="23" t="n"/>
      <c r="Y14" s="23" t="n"/>
      <c r="Z14" s="22" t="n"/>
      <c r="AA14" s="25" t="n"/>
      <c r="AB14" s="23" t="n"/>
      <c r="AC14" s="23" t="n"/>
      <c r="AD14" s="23" t="n"/>
      <c r="AE14" s="23" t="n"/>
      <c r="AF14" s="23" t="n"/>
      <c r="AG14" s="23" t="n"/>
      <c r="AH14" s="22" t="n"/>
    </row>
    <row r="15">
      <c r="B15" s="23" t="n"/>
      <c r="C15" s="22" t="n"/>
      <c r="D15" s="22" t="n"/>
      <c r="E15" s="23" t="n"/>
      <c r="F15" s="23" t="n"/>
      <c r="G15" s="25" t="n"/>
      <c r="H15" s="25" t="n"/>
      <c r="I15" s="28" t="n"/>
      <c r="J15" s="12">
        <f>IF(OR(H15="",I15=""),"",ROUND(H15*I15,0))</f>
        <v/>
      </c>
      <c r="K15" s="23" t="n"/>
      <c r="L15" s="23" t="n"/>
      <c r="M15" s="25" t="n"/>
      <c r="N15" s="29" t="n"/>
      <c r="O15" s="25" t="n"/>
      <c r="P15" s="12">
        <f>IF(AND(J15="",M15="",O15=""),"",N(M15)+N(J15)*N(N15)+N(O15))</f>
        <v/>
      </c>
      <c r="Q15" s="30">
        <f>IF(P15="","",P15/Lists!$C$18)</f>
        <v/>
      </c>
      <c r="R15" s="31" t="n"/>
      <c r="S15" s="14">
        <f>IF(OR(P15="",R15=""),"",P15*R15)</f>
        <v/>
      </c>
      <c r="T15" s="32" t="n"/>
      <c r="U15" s="14">
        <f>IF(AND(S15="",T15=""),"",N(S15)+N(T15))</f>
        <v/>
      </c>
      <c r="V15" s="23" t="n"/>
      <c r="W15" s="23" t="n"/>
      <c r="X15" s="23" t="n"/>
      <c r="Y15" s="23" t="n"/>
      <c r="Z15" s="22" t="n"/>
      <c r="AA15" s="25" t="n"/>
      <c r="AB15" s="23" t="n"/>
      <c r="AC15" s="23" t="n"/>
      <c r="AD15" s="23" t="n"/>
      <c r="AE15" s="23" t="n"/>
      <c r="AF15" s="23" t="n"/>
      <c r="AG15" s="23" t="n"/>
      <c r="AH15" s="22" t="n"/>
    </row>
    <row r="16">
      <c r="B16" s="23" t="n"/>
      <c r="C16" s="22" t="n"/>
      <c r="D16" s="22" t="n"/>
      <c r="E16" s="23" t="n"/>
      <c r="F16" s="23" t="n"/>
      <c r="G16" s="25" t="n"/>
      <c r="H16" s="25" t="n"/>
      <c r="I16" s="28" t="n"/>
      <c r="J16" s="12">
        <f>IF(OR(H16="",I16=""),"",ROUND(H16*I16,0))</f>
        <v/>
      </c>
      <c r="K16" s="23" t="n"/>
      <c r="L16" s="23" t="n"/>
      <c r="M16" s="25" t="n"/>
      <c r="N16" s="29" t="n"/>
      <c r="O16" s="25" t="n"/>
      <c r="P16" s="12">
        <f>IF(AND(J16="",M16="",O16=""),"",N(M16)+N(J16)*N(N16)+N(O16))</f>
        <v/>
      </c>
      <c r="Q16" s="30">
        <f>IF(P16="","",P16/Lists!$C$18)</f>
        <v/>
      </c>
      <c r="R16" s="31" t="n"/>
      <c r="S16" s="14">
        <f>IF(OR(P16="",R16=""),"",P16*R16)</f>
        <v/>
      </c>
      <c r="T16" s="32" t="n"/>
      <c r="U16" s="14">
        <f>IF(AND(S16="",T16=""),"",N(S16)+N(T16))</f>
        <v/>
      </c>
      <c r="V16" s="23" t="n"/>
      <c r="W16" s="23" t="n"/>
      <c r="X16" s="23" t="n"/>
      <c r="Y16" s="23" t="n"/>
      <c r="Z16" s="22" t="n"/>
      <c r="AA16" s="25" t="n"/>
      <c r="AB16" s="23" t="n"/>
      <c r="AC16" s="23" t="n"/>
      <c r="AD16" s="23" t="n"/>
      <c r="AE16" s="23" t="n"/>
      <c r="AF16" s="23" t="n"/>
      <c r="AG16" s="23" t="n"/>
      <c r="AH16" s="22" t="n"/>
    </row>
    <row r="17">
      <c r="B17" s="23" t="n"/>
      <c r="C17" s="22" t="n"/>
      <c r="D17" s="22" t="n"/>
      <c r="E17" s="23" t="n"/>
      <c r="F17" s="23" t="n"/>
      <c r="G17" s="25" t="n"/>
      <c r="H17" s="25" t="n"/>
      <c r="I17" s="28" t="n"/>
      <c r="J17" s="12">
        <f>IF(OR(H17="",I17=""),"",ROUND(H17*I17,0))</f>
        <v/>
      </c>
      <c r="K17" s="23" t="n"/>
      <c r="L17" s="23" t="n"/>
      <c r="M17" s="25" t="n"/>
      <c r="N17" s="29" t="n"/>
      <c r="O17" s="25" t="n"/>
      <c r="P17" s="12">
        <f>IF(AND(J17="",M17="",O17=""),"",N(M17)+N(J17)*N(N17)+N(O17))</f>
        <v/>
      </c>
      <c r="Q17" s="30">
        <f>IF(P17="","",P17/Lists!$C$18)</f>
        <v/>
      </c>
      <c r="R17" s="31" t="n"/>
      <c r="S17" s="14">
        <f>IF(OR(P17="",R17=""),"",P17*R17)</f>
        <v/>
      </c>
      <c r="T17" s="32" t="n"/>
      <c r="U17" s="14">
        <f>IF(AND(S17="",T17=""),"",N(S17)+N(T17))</f>
        <v/>
      </c>
      <c r="V17" s="23" t="n"/>
      <c r="W17" s="23" t="n"/>
      <c r="X17" s="23" t="n"/>
      <c r="Y17" s="23" t="n"/>
      <c r="Z17" s="22" t="n"/>
      <c r="AA17" s="25" t="n"/>
      <c r="AB17" s="23" t="n"/>
      <c r="AC17" s="23" t="n"/>
      <c r="AD17" s="23" t="n"/>
      <c r="AE17" s="23" t="n"/>
      <c r="AF17" s="23" t="n"/>
      <c r="AG17" s="23" t="n"/>
      <c r="AH17" s="22" t="n"/>
    </row>
    <row r="18">
      <c r="B18" s="23" t="n"/>
      <c r="C18" s="22" t="n"/>
      <c r="D18" s="22" t="n"/>
      <c r="E18" s="23" t="n"/>
      <c r="F18" s="23" t="n"/>
      <c r="G18" s="25" t="n"/>
      <c r="H18" s="25" t="n"/>
      <c r="I18" s="28" t="n"/>
      <c r="J18" s="12">
        <f>IF(OR(H18="",I18=""),"",ROUND(H18*I18,0))</f>
        <v/>
      </c>
      <c r="K18" s="23" t="n"/>
      <c r="L18" s="23" t="n"/>
      <c r="M18" s="25" t="n"/>
      <c r="N18" s="29" t="n"/>
      <c r="O18" s="25" t="n"/>
      <c r="P18" s="12">
        <f>IF(AND(J18="",M18="",O18=""),"",N(M18)+N(J18)*N(N18)+N(O18))</f>
        <v/>
      </c>
      <c r="Q18" s="30">
        <f>IF(P18="","",P18/Lists!$C$18)</f>
        <v/>
      </c>
      <c r="R18" s="31" t="n"/>
      <c r="S18" s="14">
        <f>IF(OR(P18="",R18=""),"",P18*R18)</f>
        <v/>
      </c>
      <c r="T18" s="32" t="n"/>
      <c r="U18" s="14">
        <f>IF(AND(S18="",T18=""),"",N(S18)+N(T18))</f>
        <v/>
      </c>
      <c r="V18" s="23" t="n"/>
      <c r="W18" s="23" t="n"/>
      <c r="X18" s="23" t="n"/>
      <c r="Y18" s="23" t="n"/>
      <c r="Z18" s="22" t="n"/>
      <c r="AA18" s="25" t="n"/>
      <c r="AB18" s="23" t="n"/>
      <c r="AC18" s="23" t="n"/>
      <c r="AD18" s="23" t="n"/>
      <c r="AE18" s="23" t="n"/>
      <c r="AF18" s="23" t="n"/>
      <c r="AG18" s="23" t="n"/>
      <c r="AH18" s="22" t="n"/>
    </row>
    <row r="19">
      <c r="B19" s="23" t="n"/>
      <c r="C19" s="22" t="n"/>
      <c r="D19" s="22" t="n"/>
      <c r="E19" s="23" t="n"/>
      <c r="F19" s="23" t="n"/>
      <c r="G19" s="25" t="n"/>
      <c r="H19" s="25" t="n"/>
      <c r="I19" s="28" t="n"/>
      <c r="J19" s="12">
        <f>IF(OR(H19="",I19=""),"",ROUND(H19*I19,0))</f>
        <v/>
      </c>
      <c r="K19" s="23" t="n"/>
      <c r="L19" s="23" t="n"/>
      <c r="M19" s="25" t="n"/>
      <c r="N19" s="29" t="n"/>
      <c r="O19" s="25" t="n"/>
      <c r="P19" s="12">
        <f>IF(AND(J19="",M19="",O19=""),"",N(M19)+N(J19)*N(N19)+N(O19))</f>
        <v/>
      </c>
      <c r="Q19" s="30">
        <f>IF(P19="","",P19/Lists!$C$18)</f>
        <v/>
      </c>
      <c r="R19" s="31" t="n"/>
      <c r="S19" s="14">
        <f>IF(OR(P19="",R19=""),"",P19*R19)</f>
        <v/>
      </c>
      <c r="T19" s="32" t="n"/>
      <c r="U19" s="14">
        <f>IF(AND(S19="",T19=""),"",N(S19)+N(T19))</f>
        <v/>
      </c>
      <c r="V19" s="23" t="n"/>
      <c r="W19" s="23" t="n"/>
      <c r="X19" s="23" t="n"/>
      <c r="Y19" s="23" t="n"/>
      <c r="Z19" s="22" t="n"/>
      <c r="AA19" s="25" t="n"/>
      <c r="AB19" s="23" t="n"/>
      <c r="AC19" s="23" t="n"/>
      <c r="AD19" s="23" t="n"/>
      <c r="AE19" s="23" t="n"/>
      <c r="AF19" s="23" t="n"/>
      <c r="AG19" s="23" t="n"/>
      <c r="AH19" s="22" t="n"/>
    </row>
    <row r="20">
      <c r="B20" s="23" t="n"/>
      <c r="C20" s="22" t="n"/>
      <c r="D20" s="22" t="n"/>
      <c r="E20" s="23" t="n"/>
      <c r="F20" s="23" t="n"/>
      <c r="G20" s="25" t="n"/>
      <c r="H20" s="25" t="n"/>
      <c r="I20" s="28" t="n"/>
      <c r="J20" s="12">
        <f>IF(OR(H20="",I20=""),"",ROUND(H20*I20,0))</f>
        <v/>
      </c>
      <c r="K20" s="23" t="n"/>
      <c r="L20" s="23" t="n"/>
      <c r="M20" s="25" t="n"/>
      <c r="N20" s="29" t="n"/>
      <c r="O20" s="25" t="n"/>
      <c r="P20" s="12">
        <f>IF(AND(J20="",M20="",O20=""),"",N(M20)+N(J20)*N(N20)+N(O20))</f>
        <v/>
      </c>
      <c r="Q20" s="30">
        <f>IF(P20="","",P20/Lists!$C$18)</f>
        <v/>
      </c>
      <c r="R20" s="31" t="n"/>
      <c r="S20" s="14">
        <f>IF(OR(P20="",R20=""),"",P20*R20)</f>
        <v/>
      </c>
      <c r="T20" s="32" t="n"/>
      <c r="U20" s="14">
        <f>IF(AND(S20="",T20=""),"",N(S20)+N(T20))</f>
        <v/>
      </c>
      <c r="V20" s="23" t="n"/>
      <c r="W20" s="23" t="n"/>
      <c r="X20" s="23" t="n"/>
      <c r="Y20" s="23" t="n"/>
      <c r="Z20" s="22" t="n"/>
      <c r="AA20" s="25" t="n"/>
      <c r="AB20" s="23" t="n"/>
      <c r="AC20" s="23" t="n"/>
      <c r="AD20" s="23" t="n"/>
      <c r="AE20" s="23" t="n"/>
      <c r="AF20" s="23" t="n"/>
      <c r="AG20" s="23" t="n"/>
      <c r="AH20" s="22" t="n"/>
    </row>
    <row r="21">
      <c r="B21" s="23" t="n"/>
      <c r="C21" s="22" t="n"/>
      <c r="D21" s="22" t="n"/>
      <c r="E21" s="23" t="n"/>
      <c r="F21" s="23" t="n"/>
      <c r="G21" s="25" t="n"/>
      <c r="H21" s="25" t="n"/>
      <c r="I21" s="28" t="n"/>
      <c r="J21" s="12">
        <f>IF(OR(H21="",I21=""),"",ROUND(H21*I21,0))</f>
        <v/>
      </c>
      <c r="K21" s="23" t="n"/>
      <c r="L21" s="23" t="n"/>
      <c r="M21" s="25" t="n"/>
      <c r="N21" s="29" t="n"/>
      <c r="O21" s="25" t="n"/>
      <c r="P21" s="12">
        <f>IF(AND(J21="",M21="",O21=""),"",N(M21)+N(J21)*N(N21)+N(O21))</f>
        <v/>
      </c>
      <c r="Q21" s="30">
        <f>IF(P21="","",P21/Lists!$C$18)</f>
        <v/>
      </c>
      <c r="R21" s="31" t="n"/>
      <c r="S21" s="14">
        <f>IF(OR(P21="",R21=""),"",P21*R21)</f>
        <v/>
      </c>
      <c r="T21" s="32" t="n"/>
      <c r="U21" s="14">
        <f>IF(AND(S21="",T21=""),"",N(S21)+N(T21))</f>
        <v/>
      </c>
      <c r="V21" s="23" t="n"/>
      <c r="W21" s="23" t="n"/>
      <c r="X21" s="23" t="n"/>
      <c r="Y21" s="23" t="n"/>
      <c r="Z21" s="22" t="n"/>
      <c r="AA21" s="25" t="n"/>
      <c r="AB21" s="23" t="n"/>
      <c r="AC21" s="23" t="n"/>
      <c r="AD21" s="23" t="n"/>
      <c r="AE21" s="23" t="n"/>
      <c r="AF21" s="23" t="n"/>
      <c r="AG21" s="23" t="n"/>
      <c r="AH21" s="22" t="n"/>
    </row>
    <row r="22">
      <c r="B22" s="23" t="n"/>
      <c r="C22" s="22" t="n"/>
      <c r="D22" s="22" t="n"/>
      <c r="E22" s="23" t="n"/>
      <c r="F22" s="23" t="n"/>
      <c r="G22" s="25" t="n"/>
      <c r="H22" s="25" t="n"/>
      <c r="I22" s="28" t="n"/>
      <c r="J22" s="12">
        <f>IF(OR(H22="",I22=""),"",ROUND(H22*I22,0))</f>
        <v/>
      </c>
      <c r="K22" s="23" t="n"/>
      <c r="L22" s="23" t="n"/>
      <c r="M22" s="25" t="n"/>
      <c r="N22" s="29" t="n"/>
      <c r="O22" s="25" t="n"/>
      <c r="P22" s="12">
        <f>IF(AND(J22="",M22="",O22=""),"",N(M22)+N(J22)*N(N22)+N(O22))</f>
        <v/>
      </c>
      <c r="Q22" s="30">
        <f>IF(P22="","",P22/Lists!$C$18)</f>
        <v/>
      </c>
      <c r="R22" s="31" t="n"/>
      <c r="S22" s="14">
        <f>IF(OR(P22="",R22=""),"",P22*R22)</f>
        <v/>
      </c>
      <c r="T22" s="32" t="n"/>
      <c r="U22" s="14">
        <f>IF(AND(S22="",T22=""),"",N(S22)+N(T22))</f>
        <v/>
      </c>
      <c r="V22" s="23" t="n"/>
      <c r="W22" s="23" t="n"/>
      <c r="X22" s="23" t="n"/>
      <c r="Y22" s="23" t="n"/>
      <c r="Z22" s="22" t="n"/>
      <c r="AA22" s="25" t="n"/>
      <c r="AB22" s="23" t="n"/>
      <c r="AC22" s="23" t="n"/>
      <c r="AD22" s="23" t="n"/>
      <c r="AE22" s="23" t="n"/>
      <c r="AF22" s="23" t="n"/>
      <c r="AG22" s="23" t="n"/>
      <c r="AH22" s="22" t="n"/>
    </row>
    <row r="23">
      <c r="B23" s="23" t="n"/>
      <c r="C23" s="22" t="n"/>
      <c r="D23" s="22" t="n"/>
      <c r="E23" s="23" t="n"/>
      <c r="F23" s="23" t="n"/>
      <c r="G23" s="25" t="n"/>
      <c r="H23" s="25" t="n"/>
      <c r="I23" s="28" t="n"/>
      <c r="J23" s="12">
        <f>IF(OR(H23="",I23=""),"",ROUND(H23*I23,0))</f>
        <v/>
      </c>
      <c r="K23" s="23" t="n"/>
      <c r="L23" s="23" t="n"/>
      <c r="M23" s="25" t="n"/>
      <c r="N23" s="29" t="n"/>
      <c r="O23" s="25" t="n"/>
      <c r="P23" s="12">
        <f>IF(AND(J23="",M23="",O23=""),"",N(M23)+N(J23)*N(N23)+N(O23))</f>
        <v/>
      </c>
      <c r="Q23" s="30">
        <f>IF(P23="","",P23/Lists!$C$18)</f>
        <v/>
      </c>
      <c r="R23" s="31" t="n"/>
      <c r="S23" s="14">
        <f>IF(OR(P23="",R23=""),"",P23*R23)</f>
        <v/>
      </c>
      <c r="T23" s="32" t="n"/>
      <c r="U23" s="14">
        <f>IF(AND(S23="",T23=""),"",N(S23)+N(T23))</f>
        <v/>
      </c>
      <c r="V23" s="23" t="n"/>
      <c r="W23" s="23" t="n"/>
      <c r="X23" s="23" t="n"/>
      <c r="Y23" s="23" t="n"/>
      <c r="Z23" s="22" t="n"/>
      <c r="AA23" s="25" t="n"/>
      <c r="AB23" s="23" t="n"/>
      <c r="AC23" s="23" t="n"/>
      <c r="AD23" s="23" t="n"/>
      <c r="AE23" s="23" t="n"/>
      <c r="AF23" s="23" t="n"/>
      <c r="AG23" s="23" t="n"/>
      <c r="AH23" s="22" t="n"/>
    </row>
    <row r="24">
      <c r="B24" s="23" t="n"/>
      <c r="C24" s="22" t="n"/>
      <c r="D24" s="22" t="n"/>
      <c r="E24" s="23" t="n"/>
      <c r="F24" s="23" t="n"/>
      <c r="G24" s="25" t="n"/>
      <c r="H24" s="25" t="n"/>
      <c r="I24" s="28" t="n"/>
      <c r="J24" s="12">
        <f>IF(OR(H24="",I24=""),"",ROUND(H24*I24,0))</f>
        <v/>
      </c>
      <c r="K24" s="23" t="n"/>
      <c r="L24" s="23" t="n"/>
      <c r="M24" s="25" t="n"/>
      <c r="N24" s="29" t="n"/>
      <c r="O24" s="25" t="n"/>
      <c r="P24" s="12">
        <f>IF(AND(J24="",M24="",O24=""),"",N(M24)+N(J24)*N(N24)+N(O24))</f>
        <v/>
      </c>
      <c r="Q24" s="30">
        <f>IF(P24="","",P24/Lists!$C$18)</f>
        <v/>
      </c>
      <c r="R24" s="31" t="n"/>
      <c r="S24" s="14">
        <f>IF(OR(P24="",R24=""),"",P24*R24)</f>
        <v/>
      </c>
      <c r="T24" s="32" t="n"/>
      <c r="U24" s="14">
        <f>IF(AND(S24="",T24=""),"",N(S24)+N(T24))</f>
        <v/>
      </c>
      <c r="V24" s="23" t="n"/>
      <c r="W24" s="23" t="n"/>
      <c r="X24" s="23" t="n"/>
      <c r="Y24" s="23" t="n"/>
      <c r="Z24" s="22" t="n"/>
      <c r="AA24" s="25" t="n"/>
      <c r="AB24" s="23" t="n"/>
      <c r="AC24" s="23" t="n"/>
      <c r="AD24" s="23" t="n"/>
      <c r="AE24" s="23" t="n"/>
      <c r="AF24" s="23" t="n"/>
      <c r="AG24" s="23" t="n"/>
      <c r="AH24" s="22" t="n"/>
    </row>
    <row r="25">
      <c r="B25" s="23" t="n"/>
      <c r="C25" s="22" t="n"/>
      <c r="D25" s="22" t="n"/>
      <c r="E25" s="23" t="n"/>
      <c r="F25" s="23" t="n"/>
      <c r="G25" s="25" t="n"/>
      <c r="H25" s="25" t="n"/>
      <c r="I25" s="28" t="n"/>
      <c r="J25" s="12">
        <f>IF(OR(H25="",I25=""),"",ROUND(H25*I25,0))</f>
        <v/>
      </c>
      <c r="K25" s="23" t="n"/>
      <c r="L25" s="23" t="n"/>
      <c r="M25" s="25" t="n"/>
      <c r="N25" s="29" t="n"/>
      <c r="O25" s="25" t="n"/>
      <c r="P25" s="12">
        <f>IF(AND(J25="",M25="",O25=""),"",N(M25)+N(J25)*N(N25)+N(O25))</f>
        <v/>
      </c>
      <c r="Q25" s="30">
        <f>IF(P25="","",P25/Lists!$C$18)</f>
        <v/>
      </c>
      <c r="R25" s="31" t="n"/>
      <c r="S25" s="14">
        <f>IF(OR(P25="",R25=""),"",P25*R25)</f>
        <v/>
      </c>
      <c r="T25" s="32" t="n"/>
      <c r="U25" s="14">
        <f>IF(AND(S25="",T25=""),"",N(S25)+N(T25))</f>
        <v/>
      </c>
      <c r="V25" s="23" t="n"/>
      <c r="W25" s="23" t="n"/>
      <c r="X25" s="23" t="n"/>
      <c r="Y25" s="23" t="n"/>
      <c r="Z25" s="22" t="n"/>
      <c r="AA25" s="25" t="n"/>
      <c r="AB25" s="23" t="n"/>
      <c r="AC25" s="23" t="n"/>
      <c r="AD25" s="23" t="n"/>
      <c r="AE25" s="23" t="n"/>
      <c r="AF25" s="23" t="n"/>
      <c r="AG25" s="23" t="n"/>
      <c r="AH25" s="22" t="n"/>
    </row>
    <row r="26">
      <c r="B26" s="23" t="n"/>
      <c r="C26" s="22" t="n"/>
      <c r="D26" s="22" t="n"/>
      <c r="E26" s="23" t="n"/>
      <c r="F26" s="23" t="n"/>
      <c r="G26" s="25" t="n"/>
      <c r="H26" s="25" t="n"/>
      <c r="I26" s="28" t="n"/>
      <c r="J26" s="12">
        <f>IF(OR(H26="",I26=""),"",ROUND(H26*I26,0))</f>
        <v/>
      </c>
      <c r="K26" s="23" t="n"/>
      <c r="L26" s="23" t="n"/>
      <c r="M26" s="25" t="n"/>
      <c r="N26" s="29" t="n"/>
      <c r="O26" s="25" t="n"/>
      <c r="P26" s="12">
        <f>IF(AND(J26="",M26="",O26=""),"",N(M26)+N(J26)*N(N26)+N(O26))</f>
        <v/>
      </c>
      <c r="Q26" s="30">
        <f>IF(P26="","",P26/Lists!$C$18)</f>
        <v/>
      </c>
      <c r="R26" s="31" t="n"/>
      <c r="S26" s="14">
        <f>IF(OR(P26="",R26=""),"",P26*R26)</f>
        <v/>
      </c>
      <c r="T26" s="32" t="n"/>
      <c r="U26" s="14">
        <f>IF(AND(S26="",T26=""),"",N(S26)+N(T26))</f>
        <v/>
      </c>
      <c r="V26" s="23" t="n"/>
      <c r="W26" s="23" t="n"/>
      <c r="X26" s="23" t="n"/>
      <c r="Y26" s="23" t="n"/>
      <c r="Z26" s="22" t="n"/>
      <c r="AA26" s="25" t="n"/>
      <c r="AB26" s="23" t="n"/>
      <c r="AC26" s="23" t="n"/>
      <c r="AD26" s="23" t="n"/>
      <c r="AE26" s="23" t="n"/>
      <c r="AF26" s="23" t="n"/>
      <c r="AG26" s="23" t="n"/>
      <c r="AH26" s="22" t="n"/>
    </row>
    <row r="27">
      <c r="B27" s="23" t="n"/>
      <c r="C27" s="22" t="n"/>
      <c r="D27" s="22" t="n"/>
      <c r="E27" s="23" t="n"/>
      <c r="F27" s="23" t="n"/>
      <c r="G27" s="25" t="n"/>
      <c r="H27" s="25" t="n"/>
      <c r="I27" s="28" t="n"/>
      <c r="J27" s="12">
        <f>IF(OR(H27="",I27=""),"",ROUND(H27*I27,0))</f>
        <v/>
      </c>
      <c r="K27" s="23" t="n"/>
      <c r="L27" s="23" t="n"/>
      <c r="M27" s="25" t="n"/>
      <c r="N27" s="29" t="n"/>
      <c r="O27" s="25" t="n"/>
      <c r="P27" s="12">
        <f>IF(AND(J27="",M27="",O27=""),"",N(M27)+N(J27)*N(N27)+N(O27))</f>
        <v/>
      </c>
      <c r="Q27" s="30">
        <f>IF(P27="","",P27/Lists!$C$18)</f>
        <v/>
      </c>
      <c r="R27" s="31" t="n"/>
      <c r="S27" s="14">
        <f>IF(OR(P27="",R27=""),"",P27*R27)</f>
        <v/>
      </c>
      <c r="T27" s="32" t="n"/>
      <c r="U27" s="14">
        <f>IF(AND(S27="",T27=""),"",N(S27)+N(T27))</f>
        <v/>
      </c>
      <c r="V27" s="23" t="n"/>
      <c r="W27" s="23" t="n"/>
      <c r="X27" s="23" t="n"/>
      <c r="Y27" s="23" t="n"/>
      <c r="Z27" s="22" t="n"/>
      <c r="AA27" s="25" t="n"/>
      <c r="AB27" s="23" t="n"/>
      <c r="AC27" s="23" t="n"/>
      <c r="AD27" s="23" t="n"/>
      <c r="AE27" s="23" t="n"/>
      <c r="AF27" s="23" t="n"/>
      <c r="AG27" s="23" t="n"/>
      <c r="AH27" s="22" t="n"/>
    </row>
    <row r="28">
      <c r="B28" s="23" t="n"/>
      <c r="C28" s="22" t="n"/>
      <c r="D28" s="22" t="n"/>
      <c r="E28" s="23" t="n"/>
      <c r="F28" s="23" t="n"/>
      <c r="G28" s="25" t="n"/>
      <c r="H28" s="25" t="n"/>
      <c r="I28" s="28" t="n"/>
      <c r="J28" s="12">
        <f>IF(OR(H28="",I28=""),"",ROUND(H28*I28,0))</f>
        <v/>
      </c>
      <c r="K28" s="23" t="n"/>
      <c r="L28" s="23" t="n"/>
      <c r="M28" s="25" t="n"/>
      <c r="N28" s="29" t="n"/>
      <c r="O28" s="25" t="n"/>
      <c r="P28" s="12">
        <f>IF(AND(J28="",M28="",O28=""),"",N(M28)+N(J28)*N(N28)+N(O28))</f>
        <v/>
      </c>
      <c r="Q28" s="30">
        <f>IF(P28="","",P28/Lists!$C$18)</f>
        <v/>
      </c>
      <c r="R28" s="31" t="n"/>
      <c r="S28" s="14">
        <f>IF(OR(P28="",R28=""),"",P28*R28)</f>
        <v/>
      </c>
      <c r="T28" s="32" t="n"/>
      <c r="U28" s="14">
        <f>IF(AND(S28="",T28=""),"",N(S28)+N(T28))</f>
        <v/>
      </c>
      <c r="V28" s="23" t="n"/>
      <c r="W28" s="23" t="n"/>
      <c r="X28" s="23" t="n"/>
      <c r="Y28" s="23" t="n"/>
      <c r="Z28" s="22" t="n"/>
      <c r="AA28" s="25" t="n"/>
      <c r="AB28" s="23" t="n"/>
      <c r="AC28" s="23" t="n"/>
      <c r="AD28" s="23" t="n"/>
      <c r="AE28" s="23" t="n"/>
      <c r="AF28" s="23" t="n"/>
      <c r="AG28" s="23" t="n"/>
      <c r="AH28" s="22" t="n"/>
    </row>
    <row r="29">
      <c r="B29" s="23" t="n"/>
      <c r="C29" s="22" t="n"/>
      <c r="D29" s="22" t="n"/>
      <c r="E29" s="23" t="n"/>
      <c r="F29" s="23" t="n"/>
      <c r="G29" s="25" t="n"/>
      <c r="H29" s="25" t="n"/>
      <c r="I29" s="28" t="n"/>
      <c r="J29" s="12">
        <f>IF(OR(H29="",I29=""),"",ROUND(H29*I29,0))</f>
        <v/>
      </c>
      <c r="K29" s="23" t="n"/>
      <c r="L29" s="23" t="n"/>
      <c r="M29" s="25" t="n"/>
      <c r="N29" s="29" t="n"/>
      <c r="O29" s="25" t="n"/>
      <c r="P29" s="12">
        <f>IF(AND(J29="",M29="",O29=""),"",N(M29)+N(J29)*N(N29)+N(O29))</f>
        <v/>
      </c>
      <c r="Q29" s="30">
        <f>IF(P29="","",P29/Lists!$C$18)</f>
        <v/>
      </c>
      <c r="R29" s="31" t="n"/>
      <c r="S29" s="14">
        <f>IF(OR(P29="",R29=""),"",P29*R29)</f>
        <v/>
      </c>
      <c r="T29" s="32" t="n"/>
      <c r="U29" s="14">
        <f>IF(AND(S29="",T29=""),"",N(S29)+N(T29))</f>
        <v/>
      </c>
      <c r="V29" s="23" t="n"/>
      <c r="W29" s="23" t="n"/>
      <c r="X29" s="23" t="n"/>
      <c r="Y29" s="23" t="n"/>
      <c r="Z29" s="22" t="n"/>
      <c r="AA29" s="25" t="n"/>
      <c r="AB29" s="23" t="n"/>
      <c r="AC29" s="23" t="n"/>
      <c r="AD29" s="23" t="n"/>
      <c r="AE29" s="23" t="n"/>
      <c r="AF29" s="23" t="n"/>
      <c r="AG29" s="23" t="n"/>
      <c r="AH29" s="22" t="n"/>
    </row>
    <row r="30">
      <c r="B30" s="23" t="n"/>
      <c r="C30" s="22" t="n"/>
      <c r="D30" s="22" t="n"/>
      <c r="E30" s="23" t="n"/>
      <c r="F30" s="23" t="n"/>
      <c r="G30" s="25" t="n"/>
      <c r="H30" s="25" t="n"/>
      <c r="I30" s="28" t="n"/>
      <c r="J30" s="12">
        <f>IF(OR(H30="",I30=""),"",ROUND(H30*I30,0))</f>
        <v/>
      </c>
      <c r="K30" s="23" t="n"/>
      <c r="L30" s="23" t="n"/>
      <c r="M30" s="25" t="n"/>
      <c r="N30" s="29" t="n"/>
      <c r="O30" s="25" t="n"/>
      <c r="P30" s="12">
        <f>IF(AND(J30="",M30="",O30=""),"",N(M30)+N(J30)*N(N30)+N(O30))</f>
        <v/>
      </c>
      <c r="Q30" s="30">
        <f>IF(P30="","",P30/Lists!$C$18)</f>
        <v/>
      </c>
      <c r="R30" s="31" t="n"/>
      <c r="S30" s="14">
        <f>IF(OR(P30="",R30=""),"",P30*R30)</f>
        <v/>
      </c>
      <c r="T30" s="32" t="n"/>
      <c r="U30" s="14">
        <f>IF(AND(S30="",T30=""),"",N(S30)+N(T30))</f>
        <v/>
      </c>
      <c r="V30" s="23" t="n"/>
      <c r="W30" s="23" t="n"/>
      <c r="X30" s="23" t="n"/>
      <c r="Y30" s="23" t="n"/>
      <c r="Z30" s="22" t="n"/>
      <c r="AA30" s="25" t="n"/>
      <c r="AB30" s="23" t="n"/>
      <c r="AC30" s="23" t="n"/>
      <c r="AD30" s="23" t="n"/>
      <c r="AE30" s="23" t="n"/>
      <c r="AF30" s="23" t="n"/>
      <c r="AG30" s="23" t="n"/>
      <c r="AH30" s="22" t="n"/>
    </row>
    <row r="31">
      <c r="B31" s="23" t="n"/>
      <c r="C31" s="22" t="n"/>
      <c r="D31" s="22" t="n"/>
      <c r="E31" s="23" t="n"/>
      <c r="F31" s="23" t="n"/>
      <c r="G31" s="25" t="n"/>
      <c r="H31" s="25" t="n"/>
      <c r="I31" s="28" t="n"/>
      <c r="J31" s="12">
        <f>IF(OR(H31="",I31=""),"",ROUND(H31*I31,0))</f>
        <v/>
      </c>
      <c r="K31" s="23" t="n"/>
      <c r="L31" s="23" t="n"/>
      <c r="M31" s="25" t="n"/>
      <c r="N31" s="29" t="n"/>
      <c r="O31" s="25" t="n"/>
      <c r="P31" s="12">
        <f>IF(AND(J31="",M31="",O31=""),"",N(M31)+N(J31)*N(N31)+N(O31))</f>
        <v/>
      </c>
      <c r="Q31" s="30">
        <f>IF(P31="","",P31/Lists!$C$18)</f>
        <v/>
      </c>
      <c r="R31" s="31" t="n"/>
      <c r="S31" s="14">
        <f>IF(OR(P31="",R31=""),"",P31*R31)</f>
        <v/>
      </c>
      <c r="T31" s="32" t="n"/>
      <c r="U31" s="14">
        <f>IF(AND(S31="",T31=""),"",N(S31)+N(T31))</f>
        <v/>
      </c>
      <c r="V31" s="23" t="n"/>
      <c r="W31" s="23" t="n"/>
      <c r="X31" s="23" t="n"/>
      <c r="Y31" s="23" t="n"/>
      <c r="Z31" s="22" t="n"/>
      <c r="AA31" s="25" t="n"/>
      <c r="AB31" s="23" t="n"/>
      <c r="AC31" s="23" t="n"/>
      <c r="AD31" s="23" t="n"/>
      <c r="AE31" s="23" t="n"/>
      <c r="AF31" s="23" t="n"/>
      <c r="AG31" s="23" t="n"/>
      <c r="AH31" s="22" t="n"/>
    </row>
    <row r="32">
      <c r="B32" s="23" t="n"/>
      <c r="C32" s="22" t="n"/>
      <c r="D32" s="22" t="n"/>
      <c r="E32" s="23" t="n"/>
      <c r="F32" s="23" t="n"/>
      <c r="G32" s="25" t="n"/>
      <c r="H32" s="25" t="n"/>
      <c r="I32" s="28" t="n"/>
      <c r="J32" s="12">
        <f>IF(OR(H32="",I32=""),"",ROUND(H32*I32,0))</f>
        <v/>
      </c>
      <c r="K32" s="23" t="n"/>
      <c r="L32" s="23" t="n"/>
      <c r="M32" s="25" t="n"/>
      <c r="N32" s="29" t="n"/>
      <c r="O32" s="25" t="n"/>
      <c r="P32" s="12">
        <f>IF(AND(J32="",M32="",O32=""),"",N(M32)+N(J32)*N(N32)+N(O32))</f>
        <v/>
      </c>
      <c r="Q32" s="30">
        <f>IF(P32="","",P32/Lists!$C$18)</f>
        <v/>
      </c>
      <c r="R32" s="31" t="n"/>
      <c r="S32" s="14">
        <f>IF(OR(P32="",R32=""),"",P32*R32)</f>
        <v/>
      </c>
      <c r="T32" s="32" t="n"/>
      <c r="U32" s="14">
        <f>IF(AND(S32="",T32=""),"",N(S32)+N(T32))</f>
        <v/>
      </c>
      <c r="V32" s="23" t="n"/>
      <c r="W32" s="23" t="n"/>
      <c r="X32" s="23" t="n"/>
      <c r="Y32" s="23" t="n"/>
      <c r="Z32" s="22" t="n"/>
      <c r="AA32" s="25" t="n"/>
      <c r="AB32" s="23" t="n"/>
      <c r="AC32" s="23" t="n"/>
      <c r="AD32" s="23" t="n"/>
      <c r="AE32" s="23" t="n"/>
      <c r="AF32" s="23" t="n"/>
      <c r="AG32" s="23" t="n"/>
      <c r="AH32" s="22" t="n"/>
    </row>
    <row r="33">
      <c r="B33" s="23" t="n"/>
      <c r="C33" s="22" t="n"/>
      <c r="D33" s="22" t="n"/>
      <c r="E33" s="23" t="n"/>
      <c r="F33" s="23" t="n"/>
      <c r="G33" s="25" t="n"/>
      <c r="H33" s="25" t="n"/>
      <c r="I33" s="28" t="n"/>
      <c r="J33" s="12">
        <f>IF(OR(H33="",I33=""),"",ROUND(H33*I33,0))</f>
        <v/>
      </c>
      <c r="K33" s="23" t="n"/>
      <c r="L33" s="23" t="n"/>
      <c r="M33" s="25" t="n"/>
      <c r="N33" s="29" t="n"/>
      <c r="O33" s="25" t="n"/>
      <c r="P33" s="12">
        <f>IF(AND(J33="",M33="",O33=""),"",N(M33)+N(J33)*N(N33)+N(O33))</f>
        <v/>
      </c>
      <c r="Q33" s="30">
        <f>IF(P33="","",P33/Lists!$C$18)</f>
        <v/>
      </c>
      <c r="R33" s="31" t="n"/>
      <c r="S33" s="14">
        <f>IF(OR(P33="",R33=""),"",P33*R33)</f>
        <v/>
      </c>
      <c r="T33" s="32" t="n"/>
      <c r="U33" s="14">
        <f>IF(AND(S33="",T33=""),"",N(S33)+N(T33))</f>
        <v/>
      </c>
      <c r="V33" s="23" t="n"/>
      <c r="W33" s="23" t="n"/>
      <c r="X33" s="23" t="n"/>
      <c r="Y33" s="23" t="n"/>
      <c r="Z33" s="22" t="n"/>
      <c r="AA33" s="25" t="n"/>
      <c r="AB33" s="23" t="n"/>
      <c r="AC33" s="23" t="n"/>
      <c r="AD33" s="23" t="n"/>
      <c r="AE33" s="23" t="n"/>
      <c r="AF33" s="23" t="n"/>
      <c r="AG33" s="23" t="n"/>
      <c r="AH33" s="22" t="n"/>
    </row>
    <row r="34">
      <c r="B34" s="23" t="n"/>
      <c r="C34" s="22" t="n"/>
      <c r="D34" s="22" t="n"/>
      <c r="E34" s="23" t="n"/>
      <c r="F34" s="23" t="n"/>
      <c r="G34" s="25" t="n"/>
      <c r="H34" s="25" t="n"/>
      <c r="I34" s="28" t="n"/>
      <c r="J34" s="12">
        <f>IF(OR(H34="",I34=""),"",ROUND(H34*I34,0))</f>
        <v/>
      </c>
      <c r="K34" s="23" t="n"/>
      <c r="L34" s="23" t="n"/>
      <c r="M34" s="25" t="n"/>
      <c r="N34" s="29" t="n"/>
      <c r="O34" s="25" t="n"/>
      <c r="P34" s="12">
        <f>IF(AND(J34="",M34="",O34=""),"",N(M34)+N(J34)*N(N34)+N(O34))</f>
        <v/>
      </c>
      <c r="Q34" s="30">
        <f>IF(P34="","",P34/Lists!$C$18)</f>
        <v/>
      </c>
      <c r="R34" s="31" t="n"/>
      <c r="S34" s="14">
        <f>IF(OR(P34="",R34=""),"",P34*R34)</f>
        <v/>
      </c>
      <c r="T34" s="32" t="n"/>
      <c r="U34" s="14">
        <f>IF(AND(S34="",T34=""),"",N(S34)+N(T34))</f>
        <v/>
      </c>
      <c r="V34" s="23" t="n"/>
      <c r="W34" s="23" t="n"/>
      <c r="X34" s="23" t="n"/>
      <c r="Y34" s="23" t="n"/>
      <c r="Z34" s="22" t="n"/>
      <c r="AA34" s="25" t="n"/>
      <c r="AB34" s="23" t="n"/>
      <c r="AC34" s="23" t="n"/>
      <c r="AD34" s="23" t="n"/>
      <c r="AE34" s="23" t="n"/>
      <c r="AF34" s="23" t="n"/>
      <c r="AG34" s="23" t="n"/>
      <c r="AH34" s="22" t="n"/>
    </row>
    <row r="35">
      <c r="B35" s="23" t="n"/>
      <c r="C35" s="22" t="n"/>
      <c r="D35" s="22" t="n"/>
      <c r="E35" s="23" t="n"/>
      <c r="F35" s="23" t="n"/>
      <c r="G35" s="25" t="n"/>
      <c r="H35" s="25" t="n"/>
      <c r="I35" s="28" t="n"/>
      <c r="J35" s="12">
        <f>IF(OR(H35="",I35=""),"",ROUND(H35*I35,0))</f>
        <v/>
      </c>
      <c r="K35" s="23" t="n"/>
      <c r="L35" s="23" t="n"/>
      <c r="M35" s="25" t="n"/>
      <c r="N35" s="29" t="n"/>
      <c r="O35" s="25" t="n"/>
      <c r="P35" s="12">
        <f>IF(AND(J35="",M35="",O35=""),"",N(M35)+N(J35)*N(N35)+N(O35))</f>
        <v/>
      </c>
      <c r="Q35" s="30">
        <f>IF(P35="","",P35/Lists!$C$18)</f>
        <v/>
      </c>
      <c r="R35" s="31" t="n"/>
      <c r="S35" s="14">
        <f>IF(OR(P35="",R35=""),"",P35*R35)</f>
        <v/>
      </c>
      <c r="T35" s="32" t="n"/>
      <c r="U35" s="14">
        <f>IF(AND(S35="",T35=""),"",N(S35)+N(T35))</f>
        <v/>
      </c>
      <c r="V35" s="23" t="n"/>
      <c r="W35" s="23" t="n"/>
      <c r="X35" s="23" t="n"/>
      <c r="Y35" s="23" t="n"/>
      <c r="Z35" s="22" t="n"/>
      <c r="AA35" s="25" t="n"/>
      <c r="AB35" s="23" t="n"/>
      <c r="AC35" s="23" t="n"/>
      <c r="AD35" s="23" t="n"/>
      <c r="AE35" s="23" t="n"/>
      <c r="AF35" s="23" t="n"/>
      <c r="AG35" s="23" t="n"/>
      <c r="AH35" s="22" t="n"/>
    </row>
    <row r="36">
      <c r="B36" s="23" t="n"/>
      <c r="C36" s="22" t="n"/>
      <c r="D36" s="22" t="n"/>
      <c r="E36" s="23" t="n"/>
      <c r="F36" s="23" t="n"/>
      <c r="G36" s="25" t="n"/>
      <c r="H36" s="25" t="n"/>
      <c r="I36" s="28" t="n"/>
      <c r="J36" s="12">
        <f>IF(OR(H36="",I36=""),"",ROUND(H36*I36,0))</f>
        <v/>
      </c>
      <c r="K36" s="23" t="n"/>
      <c r="L36" s="23" t="n"/>
      <c r="M36" s="25" t="n"/>
      <c r="N36" s="29" t="n"/>
      <c r="O36" s="25" t="n"/>
      <c r="P36" s="12">
        <f>IF(AND(J36="",M36="",O36=""),"",N(M36)+N(J36)*N(N36)+N(O36))</f>
        <v/>
      </c>
      <c r="Q36" s="30">
        <f>IF(P36="","",P36/Lists!$C$18)</f>
        <v/>
      </c>
      <c r="R36" s="31" t="n"/>
      <c r="S36" s="14">
        <f>IF(OR(P36="",R36=""),"",P36*R36)</f>
        <v/>
      </c>
      <c r="T36" s="32" t="n"/>
      <c r="U36" s="14">
        <f>IF(AND(S36="",T36=""),"",N(S36)+N(T36))</f>
        <v/>
      </c>
      <c r="V36" s="23" t="n"/>
      <c r="W36" s="23" t="n"/>
      <c r="X36" s="23" t="n"/>
      <c r="Y36" s="23" t="n"/>
      <c r="Z36" s="22" t="n"/>
      <c r="AA36" s="25" t="n"/>
      <c r="AB36" s="23" t="n"/>
      <c r="AC36" s="23" t="n"/>
      <c r="AD36" s="23" t="n"/>
      <c r="AE36" s="23" t="n"/>
      <c r="AF36" s="23" t="n"/>
      <c r="AG36" s="23" t="n"/>
      <c r="AH36" s="22" t="n"/>
    </row>
    <row r="37">
      <c r="B37" s="23" t="n"/>
      <c r="C37" s="22" t="n"/>
      <c r="D37" s="22" t="n"/>
      <c r="E37" s="23" t="n"/>
      <c r="F37" s="23" t="n"/>
      <c r="G37" s="25" t="n"/>
      <c r="H37" s="25" t="n"/>
      <c r="I37" s="28" t="n"/>
      <c r="J37" s="12">
        <f>IF(OR(H37="",I37=""),"",ROUND(H37*I37,0))</f>
        <v/>
      </c>
      <c r="K37" s="23" t="n"/>
      <c r="L37" s="23" t="n"/>
      <c r="M37" s="25" t="n"/>
      <c r="N37" s="29" t="n"/>
      <c r="O37" s="25" t="n"/>
      <c r="P37" s="12">
        <f>IF(AND(J37="",M37="",O37=""),"",N(M37)+N(J37)*N(N37)+N(O37))</f>
        <v/>
      </c>
      <c r="Q37" s="30">
        <f>IF(P37="","",P37/Lists!$C$18)</f>
        <v/>
      </c>
      <c r="R37" s="31" t="n"/>
      <c r="S37" s="14">
        <f>IF(OR(P37="",R37=""),"",P37*R37)</f>
        <v/>
      </c>
      <c r="T37" s="32" t="n"/>
      <c r="U37" s="14">
        <f>IF(AND(S37="",T37=""),"",N(S37)+N(T37))</f>
        <v/>
      </c>
      <c r="V37" s="23" t="n"/>
      <c r="W37" s="23" t="n"/>
      <c r="X37" s="23" t="n"/>
      <c r="Y37" s="23" t="n"/>
      <c r="Z37" s="22" t="n"/>
      <c r="AA37" s="25" t="n"/>
      <c r="AB37" s="23" t="n"/>
      <c r="AC37" s="23" t="n"/>
      <c r="AD37" s="23" t="n"/>
      <c r="AE37" s="23" t="n"/>
      <c r="AF37" s="23" t="n"/>
      <c r="AG37" s="23" t="n"/>
      <c r="AH37" s="22" t="n"/>
    </row>
    <row r="38">
      <c r="B38" s="23" t="n"/>
      <c r="C38" s="22" t="n"/>
      <c r="D38" s="22" t="n"/>
      <c r="E38" s="23" t="n"/>
      <c r="F38" s="23" t="n"/>
      <c r="G38" s="25" t="n"/>
      <c r="H38" s="25" t="n"/>
      <c r="I38" s="28" t="n"/>
      <c r="J38" s="12">
        <f>IF(OR(H38="",I38=""),"",ROUND(H38*I38,0))</f>
        <v/>
      </c>
      <c r="K38" s="23" t="n"/>
      <c r="L38" s="23" t="n"/>
      <c r="M38" s="25" t="n"/>
      <c r="N38" s="29" t="n"/>
      <c r="O38" s="25" t="n"/>
      <c r="P38" s="12">
        <f>IF(AND(J38="",M38="",O38=""),"",N(M38)+N(J38)*N(N38)+N(O38))</f>
        <v/>
      </c>
      <c r="Q38" s="30">
        <f>IF(P38="","",P38/Lists!$C$18)</f>
        <v/>
      </c>
      <c r="R38" s="31" t="n"/>
      <c r="S38" s="14">
        <f>IF(OR(P38="",R38=""),"",P38*R38)</f>
        <v/>
      </c>
      <c r="T38" s="32" t="n"/>
      <c r="U38" s="14">
        <f>IF(AND(S38="",T38=""),"",N(S38)+N(T38))</f>
        <v/>
      </c>
      <c r="V38" s="23" t="n"/>
      <c r="W38" s="23" t="n"/>
      <c r="X38" s="23" t="n"/>
      <c r="Y38" s="23" t="n"/>
      <c r="Z38" s="22" t="n"/>
      <c r="AA38" s="25" t="n"/>
      <c r="AB38" s="23" t="n"/>
      <c r="AC38" s="23" t="n"/>
      <c r="AD38" s="23" t="n"/>
      <c r="AE38" s="23" t="n"/>
      <c r="AF38" s="23" t="n"/>
      <c r="AG38" s="23" t="n"/>
      <c r="AH38" s="22" t="n"/>
    </row>
    <row r="39">
      <c r="B39" s="23" t="n"/>
      <c r="C39" s="22" t="n"/>
      <c r="D39" s="22" t="n"/>
      <c r="E39" s="23" t="n"/>
      <c r="F39" s="23" t="n"/>
      <c r="G39" s="25" t="n"/>
      <c r="H39" s="25" t="n"/>
      <c r="I39" s="28" t="n"/>
      <c r="J39" s="12">
        <f>IF(OR(H39="",I39=""),"",ROUND(H39*I39,0))</f>
        <v/>
      </c>
      <c r="K39" s="23" t="n"/>
      <c r="L39" s="23" t="n"/>
      <c r="M39" s="25" t="n"/>
      <c r="N39" s="29" t="n"/>
      <c r="O39" s="25" t="n"/>
      <c r="P39" s="12">
        <f>IF(AND(J39="",M39="",O39=""),"",N(M39)+N(J39)*N(N39)+N(O39))</f>
        <v/>
      </c>
      <c r="Q39" s="30">
        <f>IF(P39="","",P39/Lists!$C$18)</f>
        <v/>
      </c>
      <c r="R39" s="31" t="n"/>
      <c r="S39" s="14">
        <f>IF(OR(P39="",R39=""),"",P39*R39)</f>
        <v/>
      </c>
      <c r="T39" s="32" t="n"/>
      <c r="U39" s="14">
        <f>IF(AND(S39="",T39=""),"",N(S39)+N(T39))</f>
        <v/>
      </c>
      <c r="V39" s="23" t="n"/>
      <c r="W39" s="23" t="n"/>
      <c r="X39" s="23" t="n"/>
      <c r="Y39" s="23" t="n"/>
      <c r="Z39" s="22" t="n"/>
      <c r="AA39" s="25" t="n"/>
      <c r="AB39" s="23" t="n"/>
      <c r="AC39" s="23" t="n"/>
      <c r="AD39" s="23" t="n"/>
      <c r="AE39" s="23" t="n"/>
      <c r="AF39" s="23" t="n"/>
      <c r="AG39" s="23" t="n"/>
      <c r="AH39" s="22" t="n"/>
    </row>
    <row r="40">
      <c r="B40" s="23" t="n"/>
      <c r="C40" s="22" t="n"/>
      <c r="D40" s="22" t="n"/>
      <c r="E40" s="23" t="n"/>
      <c r="F40" s="23" t="n"/>
      <c r="G40" s="25" t="n"/>
      <c r="H40" s="25" t="n"/>
      <c r="I40" s="28" t="n"/>
      <c r="J40" s="12">
        <f>IF(OR(H40="",I40=""),"",ROUND(H40*I40,0))</f>
        <v/>
      </c>
      <c r="K40" s="23" t="n"/>
      <c r="L40" s="23" t="n"/>
      <c r="M40" s="25" t="n"/>
      <c r="N40" s="29" t="n"/>
      <c r="O40" s="25" t="n"/>
      <c r="P40" s="12">
        <f>IF(AND(J40="",M40="",O40=""),"",N(M40)+N(J40)*N(N40)+N(O40))</f>
        <v/>
      </c>
      <c r="Q40" s="30">
        <f>IF(P40="","",P40/Lists!$C$18)</f>
        <v/>
      </c>
      <c r="R40" s="31" t="n"/>
      <c r="S40" s="14">
        <f>IF(OR(P40="",R40=""),"",P40*R40)</f>
        <v/>
      </c>
      <c r="T40" s="32" t="n"/>
      <c r="U40" s="14">
        <f>IF(AND(S40="",T40=""),"",N(S40)+N(T40))</f>
        <v/>
      </c>
      <c r="V40" s="23" t="n"/>
      <c r="W40" s="23" t="n"/>
      <c r="X40" s="23" t="n"/>
      <c r="Y40" s="23" t="n"/>
      <c r="Z40" s="22" t="n"/>
      <c r="AA40" s="25" t="n"/>
      <c r="AB40" s="23" t="n"/>
      <c r="AC40" s="23" t="n"/>
      <c r="AD40" s="23" t="n"/>
      <c r="AE40" s="23" t="n"/>
      <c r="AF40" s="23" t="n"/>
      <c r="AG40" s="23" t="n"/>
      <c r="AH40" s="22" t="n"/>
    </row>
    <row r="41">
      <c r="B41" s="23" t="n"/>
      <c r="C41" s="22" t="n"/>
      <c r="D41" s="22" t="n"/>
      <c r="E41" s="23" t="n"/>
      <c r="F41" s="23" t="n"/>
      <c r="G41" s="25" t="n"/>
      <c r="H41" s="25" t="n"/>
      <c r="I41" s="28" t="n"/>
      <c r="J41" s="12">
        <f>IF(OR(H41="",I41=""),"",ROUND(H41*I41,0))</f>
        <v/>
      </c>
      <c r="K41" s="23" t="n"/>
      <c r="L41" s="23" t="n"/>
      <c r="M41" s="25" t="n"/>
      <c r="N41" s="29" t="n"/>
      <c r="O41" s="25" t="n"/>
      <c r="P41" s="12">
        <f>IF(AND(J41="",M41="",O41=""),"",N(M41)+N(J41)*N(N41)+N(O41))</f>
        <v/>
      </c>
      <c r="Q41" s="30">
        <f>IF(P41="","",P41/Lists!$C$18)</f>
        <v/>
      </c>
      <c r="R41" s="31" t="n"/>
      <c r="S41" s="14">
        <f>IF(OR(P41="",R41=""),"",P41*R41)</f>
        <v/>
      </c>
      <c r="T41" s="32" t="n"/>
      <c r="U41" s="14">
        <f>IF(AND(S41="",T41=""),"",N(S41)+N(T41))</f>
        <v/>
      </c>
      <c r="V41" s="23" t="n"/>
      <c r="W41" s="23" t="n"/>
      <c r="X41" s="23" t="n"/>
      <c r="Y41" s="23" t="n"/>
      <c r="Z41" s="22" t="n"/>
      <c r="AA41" s="25" t="n"/>
      <c r="AB41" s="23" t="n"/>
      <c r="AC41" s="23" t="n"/>
      <c r="AD41" s="23" t="n"/>
      <c r="AE41" s="23" t="n"/>
      <c r="AF41" s="23" t="n"/>
      <c r="AG41" s="23" t="n"/>
      <c r="AH41" s="22" t="n"/>
    </row>
    <row r="42">
      <c r="B42" s="23" t="n"/>
      <c r="C42" s="22" t="n"/>
      <c r="D42" s="22" t="n"/>
      <c r="E42" s="23" t="n"/>
      <c r="F42" s="23" t="n"/>
      <c r="G42" s="25" t="n"/>
      <c r="H42" s="25" t="n"/>
      <c r="I42" s="28" t="n"/>
      <c r="J42" s="12">
        <f>IF(OR(H42="",I42=""),"",ROUND(H42*I42,0))</f>
        <v/>
      </c>
      <c r="K42" s="23" t="n"/>
      <c r="L42" s="23" t="n"/>
      <c r="M42" s="25" t="n"/>
      <c r="N42" s="29" t="n"/>
      <c r="O42" s="25" t="n"/>
      <c r="P42" s="12">
        <f>IF(AND(J42="",M42="",O42=""),"",N(M42)+N(J42)*N(N42)+N(O42))</f>
        <v/>
      </c>
      <c r="Q42" s="30">
        <f>IF(P42="","",P42/Lists!$C$18)</f>
        <v/>
      </c>
      <c r="R42" s="31" t="n"/>
      <c r="S42" s="14">
        <f>IF(OR(P42="",R42=""),"",P42*R42)</f>
        <v/>
      </c>
      <c r="T42" s="32" t="n"/>
      <c r="U42" s="14">
        <f>IF(AND(S42="",T42=""),"",N(S42)+N(T42))</f>
        <v/>
      </c>
      <c r="V42" s="23" t="n"/>
      <c r="W42" s="23" t="n"/>
      <c r="X42" s="23" t="n"/>
      <c r="Y42" s="23" t="n"/>
      <c r="Z42" s="22" t="n"/>
      <c r="AA42" s="25" t="n"/>
      <c r="AB42" s="23" t="n"/>
      <c r="AC42" s="23" t="n"/>
      <c r="AD42" s="23" t="n"/>
      <c r="AE42" s="23" t="n"/>
      <c r="AF42" s="23" t="n"/>
      <c r="AG42" s="23" t="n"/>
      <c r="AH42" s="22" t="n"/>
    </row>
    <row r="43">
      <c r="B43" s="23" t="n"/>
      <c r="C43" s="22" t="n"/>
      <c r="D43" s="22" t="n"/>
      <c r="E43" s="23" t="n"/>
      <c r="F43" s="23" t="n"/>
      <c r="G43" s="25" t="n"/>
      <c r="H43" s="25" t="n"/>
      <c r="I43" s="28" t="n"/>
      <c r="J43" s="12">
        <f>IF(OR(H43="",I43=""),"",ROUND(H43*I43,0))</f>
        <v/>
      </c>
      <c r="K43" s="23" t="n"/>
      <c r="L43" s="23" t="n"/>
      <c r="M43" s="25" t="n"/>
      <c r="N43" s="29" t="n"/>
      <c r="O43" s="25" t="n"/>
      <c r="P43" s="12">
        <f>IF(AND(J43="",M43="",O43=""),"",N(M43)+N(J43)*N(N43)+N(O43))</f>
        <v/>
      </c>
      <c r="Q43" s="30">
        <f>IF(P43="","",P43/Lists!$C$18)</f>
        <v/>
      </c>
      <c r="R43" s="31" t="n"/>
      <c r="S43" s="14">
        <f>IF(OR(P43="",R43=""),"",P43*R43)</f>
        <v/>
      </c>
      <c r="T43" s="32" t="n"/>
      <c r="U43" s="14">
        <f>IF(AND(S43="",T43=""),"",N(S43)+N(T43))</f>
        <v/>
      </c>
      <c r="V43" s="23" t="n"/>
      <c r="W43" s="23" t="n"/>
      <c r="X43" s="23" t="n"/>
      <c r="Y43" s="23" t="n"/>
      <c r="Z43" s="22" t="n"/>
      <c r="AA43" s="25" t="n"/>
      <c r="AB43" s="23" t="n"/>
      <c r="AC43" s="23" t="n"/>
      <c r="AD43" s="23" t="n"/>
      <c r="AE43" s="23" t="n"/>
      <c r="AF43" s="23" t="n"/>
      <c r="AG43" s="23" t="n"/>
      <c r="AH43" s="22" t="n"/>
    </row>
    <row r="44">
      <c r="B44" s="23" t="n"/>
      <c r="C44" s="22" t="n"/>
      <c r="D44" s="22" t="n"/>
      <c r="E44" s="23" t="n"/>
      <c r="F44" s="23" t="n"/>
      <c r="G44" s="25" t="n"/>
      <c r="H44" s="25" t="n"/>
      <c r="I44" s="28" t="n"/>
      <c r="J44" s="12">
        <f>IF(OR(H44="",I44=""),"",ROUND(H44*I44,0))</f>
        <v/>
      </c>
      <c r="K44" s="23" t="n"/>
      <c r="L44" s="23" t="n"/>
      <c r="M44" s="25" t="n"/>
      <c r="N44" s="29" t="n"/>
      <c r="O44" s="25" t="n"/>
      <c r="P44" s="12">
        <f>IF(AND(J44="",M44="",O44=""),"",N(M44)+N(J44)*N(N44)+N(O44))</f>
        <v/>
      </c>
      <c r="Q44" s="30">
        <f>IF(P44="","",P44/Lists!$C$18)</f>
        <v/>
      </c>
      <c r="R44" s="31" t="n"/>
      <c r="S44" s="14">
        <f>IF(OR(P44="",R44=""),"",P44*R44)</f>
        <v/>
      </c>
      <c r="T44" s="32" t="n"/>
      <c r="U44" s="14">
        <f>IF(AND(S44="",T44=""),"",N(S44)+N(T44))</f>
        <v/>
      </c>
      <c r="V44" s="23" t="n"/>
      <c r="W44" s="23" t="n"/>
      <c r="X44" s="23" t="n"/>
      <c r="Y44" s="23" t="n"/>
      <c r="Z44" s="22" t="n"/>
      <c r="AA44" s="25" t="n"/>
      <c r="AB44" s="23" t="n"/>
      <c r="AC44" s="23" t="n"/>
      <c r="AD44" s="23" t="n"/>
      <c r="AE44" s="23" t="n"/>
      <c r="AF44" s="23" t="n"/>
      <c r="AG44" s="23" t="n"/>
      <c r="AH44" s="22" t="n"/>
    </row>
    <row r="45">
      <c r="B45" s="23" t="n"/>
      <c r="C45" s="22" t="n"/>
      <c r="D45" s="22" t="n"/>
      <c r="E45" s="23" t="n"/>
      <c r="F45" s="23" t="n"/>
      <c r="G45" s="25" t="n"/>
      <c r="H45" s="25" t="n"/>
      <c r="I45" s="28" t="n"/>
      <c r="J45" s="12">
        <f>IF(OR(H45="",I45=""),"",ROUND(H45*I45,0))</f>
        <v/>
      </c>
      <c r="K45" s="23" t="n"/>
      <c r="L45" s="23" t="n"/>
      <c r="M45" s="25" t="n"/>
      <c r="N45" s="29" t="n"/>
      <c r="O45" s="25" t="n"/>
      <c r="P45" s="12">
        <f>IF(AND(J45="",M45="",O45=""),"",N(M45)+N(J45)*N(N45)+N(O45))</f>
        <v/>
      </c>
      <c r="Q45" s="30">
        <f>IF(P45="","",P45/Lists!$C$18)</f>
        <v/>
      </c>
      <c r="R45" s="31" t="n"/>
      <c r="S45" s="14">
        <f>IF(OR(P45="",R45=""),"",P45*R45)</f>
        <v/>
      </c>
      <c r="T45" s="32" t="n"/>
      <c r="U45" s="14">
        <f>IF(AND(S45="",T45=""),"",N(S45)+N(T45))</f>
        <v/>
      </c>
      <c r="V45" s="23" t="n"/>
      <c r="W45" s="23" t="n"/>
      <c r="X45" s="23" t="n"/>
      <c r="Y45" s="23" t="n"/>
      <c r="Z45" s="22" t="n"/>
      <c r="AA45" s="25" t="n"/>
      <c r="AB45" s="23" t="n"/>
      <c r="AC45" s="23" t="n"/>
      <c r="AD45" s="23" t="n"/>
      <c r="AE45" s="23" t="n"/>
      <c r="AF45" s="23" t="n"/>
      <c r="AG45" s="23" t="n"/>
      <c r="AH45" s="22" t="n"/>
    </row>
    <row r="46">
      <c r="B46" s="23" t="n"/>
      <c r="C46" s="22" t="n"/>
      <c r="D46" s="22" t="n"/>
      <c r="E46" s="23" t="n"/>
      <c r="F46" s="23" t="n"/>
      <c r="G46" s="25" t="n"/>
      <c r="H46" s="25" t="n"/>
      <c r="I46" s="28" t="n"/>
      <c r="J46" s="12">
        <f>IF(OR(H46="",I46=""),"",ROUND(H46*I46,0))</f>
        <v/>
      </c>
      <c r="K46" s="23" t="n"/>
      <c r="L46" s="23" t="n"/>
      <c r="M46" s="25" t="n"/>
      <c r="N46" s="29" t="n"/>
      <c r="O46" s="25" t="n"/>
      <c r="P46" s="12">
        <f>IF(AND(J46="",M46="",O46=""),"",N(M46)+N(J46)*N(N46)+N(O46))</f>
        <v/>
      </c>
      <c r="Q46" s="30">
        <f>IF(P46="","",P46/Lists!$C$18)</f>
        <v/>
      </c>
      <c r="R46" s="31" t="n"/>
      <c r="S46" s="14">
        <f>IF(OR(P46="",R46=""),"",P46*R46)</f>
        <v/>
      </c>
      <c r="T46" s="32" t="n"/>
      <c r="U46" s="14">
        <f>IF(AND(S46="",T46=""),"",N(S46)+N(T46))</f>
        <v/>
      </c>
      <c r="V46" s="23" t="n"/>
      <c r="W46" s="23" t="n"/>
      <c r="X46" s="23" t="n"/>
      <c r="Y46" s="23" t="n"/>
      <c r="Z46" s="22" t="n"/>
      <c r="AA46" s="25" t="n"/>
      <c r="AB46" s="23" t="n"/>
      <c r="AC46" s="23" t="n"/>
      <c r="AD46" s="23" t="n"/>
      <c r="AE46" s="23" t="n"/>
      <c r="AF46" s="23" t="n"/>
      <c r="AG46" s="23" t="n"/>
      <c r="AH46" s="22" t="n"/>
    </row>
    <row r="47">
      <c r="B47" s="23" t="n"/>
      <c r="C47" s="22" t="n"/>
      <c r="D47" s="22" t="n"/>
      <c r="E47" s="23" t="n"/>
      <c r="F47" s="23" t="n"/>
      <c r="G47" s="25" t="n"/>
      <c r="H47" s="25" t="n"/>
      <c r="I47" s="28" t="n"/>
      <c r="J47" s="12">
        <f>IF(OR(H47="",I47=""),"",ROUND(H47*I47,0))</f>
        <v/>
      </c>
      <c r="K47" s="23" t="n"/>
      <c r="L47" s="23" t="n"/>
      <c r="M47" s="25" t="n"/>
      <c r="N47" s="29" t="n"/>
      <c r="O47" s="25" t="n"/>
      <c r="P47" s="12">
        <f>IF(AND(J47="",M47="",O47=""),"",N(M47)+N(J47)*N(N47)+N(O47))</f>
        <v/>
      </c>
      <c r="Q47" s="30">
        <f>IF(P47="","",P47/Lists!$C$18)</f>
        <v/>
      </c>
      <c r="R47" s="31" t="n"/>
      <c r="S47" s="14">
        <f>IF(OR(P47="",R47=""),"",P47*R47)</f>
        <v/>
      </c>
      <c r="T47" s="32" t="n"/>
      <c r="U47" s="14">
        <f>IF(AND(S47="",T47=""),"",N(S47)+N(T47))</f>
        <v/>
      </c>
      <c r="V47" s="23" t="n"/>
      <c r="W47" s="23" t="n"/>
      <c r="X47" s="23" t="n"/>
      <c r="Y47" s="23" t="n"/>
      <c r="Z47" s="22" t="n"/>
      <c r="AA47" s="25" t="n"/>
      <c r="AB47" s="23" t="n"/>
      <c r="AC47" s="23" t="n"/>
      <c r="AD47" s="23" t="n"/>
      <c r="AE47" s="23" t="n"/>
      <c r="AF47" s="23" t="n"/>
      <c r="AG47" s="23" t="n"/>
      <c r="AH47" s="22" t="n"/>
    </row>
    <row r="48">
      <c r="B48" s="23" t="n"/>
      <c r="C48" s="22" t="n"/>
      <c r="D48" s="22" t="n"/>
      <c r="E48" s="23" t="n"/>
      <c r="F48" s="23" t="n"/>
      <c r="G48" s="25" t="n"/>
      <c r="H48" s="25" t="n"/>
      <c r="I48" s="28" t="n"/>
      <c r="J48" s="12">
        <f>IF(OR(H48="",I48=""),"",ROUND(H48*I48,0))</f>
        <v/>
      </c>
      <c r="K48" s="23" t="n"/>
      <c r="L48" s="23" t="n"/>
      <c r="M48" s="25" t="n"/>
      <c r="N48" s="29" t="n"/>
      <c r="O48" s="25" t="n"/>
      <c r="P48" s="12">
        <f>IF(AND(J48="",M48="",O48=""),"",N(M48)+N(J48)*N(N48)+N(O48))</f>
        <v/>
      </c>
      <c r="Q48" s="30">
        <f>IF(P48="","",P48/Lists!$C$18)</f>
        <v/>
      </c>
      <c r="R48" s="31" t="n"/>
      <c r="S48" s="14">
        <f>IF(OR(P48="",R48=""),"",P48*R48)</f>
        <v/>
      </c>
      <c r="T48" s="32" t="n"/>
      <c r="U48" s="14">
        <f>IF(AND(S48="",T48=""),"",N(S48)+N(T48))</f>
        <v/>
      </c>
      <c r="V48" s="23" t="n"/>
      <c r="W48" s="23" t="n"/>
      <c r="X48" s="23" t="n"/>
      <c r="Y48" s="23" t="n"/>
      <c r="Z48" s="22" t="n"/>
      <c r="AA48" s="25" t="n"/>
      <c r="AB48" s="23" t="n"/>
      <c r="AC48" s="23" t="n"/>
      <c r="AD48" s="23" t="n"/>
      <c r="AE48" s="23" t="n"/>
      <c r="AF48" s="23" t="n"/>
      <c r="AG48" s="23" t="n"/>
      <c r="AH48" s="22" t="n"/>
    </row>
    <row r="49">
      <c r="B49" s="23" t="n"/>
      <c r="C49" s="22" t="n"/>
      <c r="D49" s="22" t="n"/>
      <c r="E49" s="23" t="n"/>
      <c r="F49" s="23" t="n"/>
      <c r="G49" s="25" t="n"/>
      <c r="H49" s="25" t="n"/>
      <c r="I49" s="28" t="n"/>
      <c r="J49" s="12">
        <f>IF(OR(H49="",I49=""),"",ROUND(H49*I49,0))</f>
        <v/>
      </c>
      <c r="K49" s="23" t="n"/>
      <c r="L49" s="23" t="n"/>
      <c r="M49" s="25" t="n"/>
      <c r="N49" s="29" t="n"/>
      <c r="O49" s="25" t="n"/>
      <c r="P49" s="12">
        <f>IF(AND(J49="",M49="",O49=""),"",N(M49)+N(J49)*N(N49)+N(O49))</f>
        <v/>
      </c>
      <c r="Q49" s="30">
        <f>IF(P49="","",P49/Lists!$C$18)</f>
        <v/>
      </c>
      <c r="R49" s="31" t="n"/>
      <c r="S49" s="14">
        <f>IF(OR(P49="",R49=""),"",P49*R49)</f>
        <v/>
      </c>
      <c r="T49" s="32" t="n"/>
      <c r="U49" s="14">
        <f>IF(AND(S49="",T49=""),"",N(S49)+N(T49))</f>
        <v/>
      </c>
      <c r="V49" s="23" t="n"/>
      <c r="W49" s="23" t="n"/>
      <c r="X49" s="23" t="n"/>
      <c r="Y49" s="23" t="n"/>
      <c r="Z49" s="22" t="n"/>
      <c r="AA49" s="25" t="n"/>
      <c r="AB49" s="23" t="n"/>
      <c r="AC49" s="23" t="n"/>
      <c r="AD49" s="23" t="n"/>
      <c r="AE49" s="23" t="n"/>
      <c r="AF49" s="23" t="n"/>
      <c r="AG49" s="23" t="n"/>
      <c r="AH49" s="22" t="n"/>
    </row>
    <row r="50">
      <c r="B50" s="23" t="n"/>
      <c r="C50" s="22" t="n"/>
      <c r="D50" s="22" t="n"/>
      <c r="E50" s="23" t="n"/>
      <c r="F50" s="23" t="n"/>
      <c r="G50" s="25" t="n"/>
      <c r="H50" s="25" t="n"/>
      <c r="I50" s="28" t="n"/>
      <c r="J50" s="12">
        <f>IF(OR(H50="",I50=""),"",ROUND(H50*I50,0))</f>
        <v/>
      </c>
      <c r="K50" s="23" t="n"/>
      <c r="L50" s="23" t="n"/>
      <c r="M50" s="25" t="n"/>
      <c r="N50" s="29" t="n"/>
      <c r="O50" s="25" t="n"/>
      <c r="P50" s="12">
        <f>IF(AND(J50="",M50="",O50=""),"",N(M50)+N(J50)*N(N50)+N(O50))</f>
        <v/>
      </c>
      <c r="Q50" s="30">
        <f>IF(P50="","",P50/Lists!$C$18)</f>
        <v/>
      </c>
      <c r="R50" s="31" t="n"/>
      <c r="S50" s="14">
        <f>IF(OR(P50="",R50=""),"",P50*R50)</f>
        <v/>
      </c>
      <c r="T50" s="32" t="n"/>
      <c r="U50" s="14">
        <f>IF(AND(S50="",T50=""),"",N(S50)+N(T50))</f>
        <v/>
      </c>
      <c r="V50" s="23" t="n"/>
      <c r="W50" s="23" t="n"/>
      <c r="X50" s="23" t="n"/>
      <c r="Y50" s="23" t="n"/>
      <c r="Z50" s="22" t="n"/>
      <c r="AA50" s="25" t="n"/>
      <c r="AB50" s="23" t="n"/>
      <c r="AC50" s="23" t="n"/>
      <c r="AD50" s="23" t="n"/>
      <c r="AE50" s="23" t="n"/>
      <c r="AF50" s="23" t="n"/>
      <c r="AG50" s="23" t="n"/>
      <c r="AH50" s="22" t="n"/>
    </row>
    <row r="51">
      <c r="B51" s="23" t="n"/>
      <c r="C51" s="22" t="n"/>
      <c r="D51" s="22" t="n"/>
      <c r="E51" s="23" t="n"/>
      <c r="F51" s="23" t="n"/>
      <c r="G51" s="25" t="n"/>
      <c r="H51" s="25" t="n"/>
      <c r="I51" s="28" t="n"/>
      <c r="J51" s="12">
        <f>IF(OR(H51="",I51=""),"",ROUND(H51*I51,0))</f>
        <v/>
      </c>
      <c r="K51" s="23" t="n"/>
      <c r="L51" s="23" t="n"/>
      <c r="M51" s="25" t="n"/>
      <c r="N51" s="29" t="n"/>
      <c r="O51" s="25" t="n"/>
      <c r="P51" s="12">
        <f>IF(AND(J51="",M51="",O51=""),"",N(M51)+N(J51)*N(N51)+N(O51))</f>
        <v/>
      </c>
      <c r="Q51" s="30">
        <f>IF(P51="","",P51/Lists!$C$18)</f>
        <v/>
      </c>
      <c r="R51" s="31" t="n"/>
      <c r="S51" s="14">
        <f>IF(OR(P51="",R51=""),"",P51*R51)</f>
        <v/>
      </c>
      <c r="T51" s="32" t="n"/>
      <c r="U51" s="14">
        <f>IF(AND(S51="",T51=""),"",N(S51)+N(T51))</f>
        <v/>
      </c>
      <c r="V51" s="23" t="n"/>
      <c r="W51" s="23" t="n"/>
      <c r="X51" s="23" t="n"/>
      <c r="Y51" s="23" t="n"/>
      <c r="Z51" s="22" t="n"/>
      <c r="AA51" s="25" t="n"/>
      <c r="AB51" s="23" t="n"/>
      <c r="AC51" s="23" t="n"/>
      <c r="AD51" s="23" t="n"/>
      <c r="AE51" s="23" t="n"/>
      <c r="AF51" s="23" t="n"/>
      <c r="AG51" s="23" t="n"/>
      <c r="AH51" s="22" t="n"/>
    </row>
    <row r="52">
      <c r="B52" s="23" t="n"/>
      <c r="C52" s="22" t="n"/>
      <c r="D52" s="22" t="n"/>
      <c r="E52" s="23" t="n"/>
      <c r="F52" s="23" t="n"/>
      <c r="G52" s="25" t="n"/>
      <c r="H52" s="25" t="n"/>
      <c r="I52" s="28" t="n"/>
      <c r="J52" s="12">
        <f>IF(OR(H52="",I52=""),"",ROUND(H52*I52,0))</f>
        <v/>
      </c>
      <c r="K52" s="23" t="n"/>
      <c r="L52" s="23" t="n"/>
      <c r="M52" s="25" t="n"/>
      <c r="N52" s="29" t="n"/>
      <c r="O52" s="25" t="n"/>
      <c r="P52" s="12">
        <f>IF(AND(J52="",M52="",O52=""),"",N(M52)+N(J52)*N(N52)+N(O52))</f>
        <v/>
      </c>
      <c r="Q52" s="30">
        <f>IF(P52="","",P52/Lists!$C$18)</f>
        <v/>
      </c>
      <c r="R52" s="31" t="n"/>
      <c r="S52" s="14">
        <f>IF(OR(P52="",R52=""),"",P52*R52)</f>
        <v/>
      </c>
      <c r="T52" s="32" t="n"/>
      <c r="U52" s="14">
        <f>IF(AND(S52="",T52=""),"",N(S52)+N(T52))</f>
        <v/>
      </c>
      <c r="V52" s="23" t="n"/>
      <c r="W52" s="23" t="n"/>
      <c r="X52" s="23" t="n"/>
      <c r="Y52" s="23" t="n"/>
      <c r="Z52" s="22" t="n"/>
      <c r="AA52" s="25" t="n"/>
      <c r="AB52" s="23" t="n"/>
      <c r="AC52" s="23" t="n"/>
      <c r="AD52" s="23" t="n"/>
      <c r="AE52" s="23" t="n"/>
      <c r="AF52" s="23" t="n"/>
      <c r="AG52" s="23" t="n"/>
      <c r="AH52" s="22" t="n"/>
    </row>
    <row r="53">
      <c r="B53" s="23" t="n"/>
      <c r="C53" s="22" t="n"/>
      <c r="D53" s="22" t="n"/>
      <c r="E53" s="23" t="n"/>
      <c r="F53" s="23" t="n"/>
      <c r="G53" s="25" t="n"/>
      <c r="H53" s="25" t="n"/>
      <c r="I53" s="28" t="n"/>
      <c r="J53" s="12">
        <f>IF(OR(H53="",I53=""),"",ROUND(H53*I53,0))</f>
        <v/>
      </c>
      <c r="K53" s="23" t="n"/>
      <c r="L53" s="23" t="n"/>
      <c r="M53" s="25" t="n"/>
      <c r="N53" s="29" t="n"/>
      <c r="O53" s="25" t="n"/>
      <c r="P53" s="12">
        <f>IF(AND(J53="",M53="",O53=""),"",N(M53)+N(J53)*N(N53)+N(O53))</f>
        <v/>
      </c>
      <c r="Q53" s="30">
        <f>IF(P53="","",P53/Lists!$C$18)</f>
        <v/>
      </c>
      <c r="R53" s="31" t="n"/>
      <c r="S53" s="14">
        <f>IF(OR(P53="",R53=""),"",P53*R53)</f>
        <v/>
      </c>
      <c r="T53" s="32" t="n"/>
      <c r="U53" s="14">
        <f>IF(AND(S53="",T53=""),"",N(S53)+N(T53))</f>
        <v/>
      </c>
      <c r="V53" s="23" t="n"/>
      <c r="W53" s="23" t="n"/>
      <c r="X53" s="23" t="n"/>
      <c r="Y53" s="23" t="n"/>
      <c r="Z53" s="22" t="n"/>
      <c r="AA53" s="25" t="n"/>
      <c r="AB53" s="23" t="n"/>
      <c r="AC53" s="23" t="n"/>
      <c r="AD53" s="23" t="n"/>
      <c r="AE53" s="23" t="n"/>
      <c r="AF53" s="23" t="n"/>
      <c r="AG53" s="23" t="n"/>
      <c r="AH53" s="22" t="n"/>
    </row>
    <row r="54">
      <c r="B54" s="23" t="n"/>
      <c r="C54" s="22" t="n"/>
      <c r="D54" s="22" t="n"/>
      <c r="E54" s="23" t="n"/>
      <c r="F54" s="23" t="n"/>
      <c r="G54" s="25" t="n"/>
      <c r="H54" s="25" t="n"/>
      <c r="I54" s="28" t="n"/>
      <c r="J54" s="12">
        <f>IF(OR(H54="",I54=""),"",ROUND(H54*I54,0))</f>
        <v/>
      </c>
      <c r="K54" s="23" t="n"/>
      <c r="L54" s="23" t="n"/>
      <c r="M54" s="25" t="n"/>
      <c r="N54" s="29" t="n"/>
      <c r="O54" s="25" t="n"/>
      <c r="P54" s="12">
        <f>IF(AND(J54="",M54="",O54=""),"",N(M54)+N(J54)*N(N54)+N(O54))</f>
        <v/>
      </c>
      <c r="Q54" s="30">
        <f>IF(P54="","",P54/Lists!$C$18)</f>
        <v/>
      </c>
      <c r="R54" s="31" t="n"/>
      <c r="S54" s="14">
        <f>IF(OR(P54="",R54=""),"",P54*R54)</f>
        <v/>
      </c>
      <c r="T54" s="32" t="n"/>
      <c r="U54" s="14">
        <f>IF(AND(S54="",T54=""),"",N(S54)+N(T54))</f>
        <v/>
      </c>
      <c r="V54" s="23" t="n"/>
      <c r="W54" s="23" t="n"/>
      <c r="X54" s="23" t="n"/>
      <c r="Y54" s="23" t="n"/>
      <c r="Z54" s="22" t="n"/>
      <c r="AA54" s="25" t="n"/>
      <c r="AB54" s="23" t="n"/>
      <c r="AC54" s="23" t="n"/>
      <c r="AD54" s="23" t="n"/>
      <c r="AE54" s="23" t="n"/>
      <c r="AF54" s="23" t="n"/>
      <c r="AG54" s="23" t="n"/>
      <c r="AH54" s="22" t="n"/>
    </row>
    <row r="55">
      <c r="B55" s="23" t="n"/>
      <c r="C55" s="22" t="n"/>
      <c r="D55" s="22" t="n"/>
      <c r="E55" s="23" t="n"/>
      <c r="F55" s="23" t="n"/>
      <c r="G55" s="25" t="n"/>
      <c r="H55" s="25" t="n"/>
      <c r="I55" s="28" t="n"/>
      <c r="J55" s="12">
        <f>IF(OR(H55="",I55=""),"",ROUND(H55*I55,0))</f>
        <v/>
      </c>
      <c r="K55" s="23" t="n"/>
      <c r="L55" s="23" t="n"/>
      <c r="M55" s="25" t="n"/>
      <c r="N55" s="29" t="n"/>
      <c r="O55" s="25" t="n"/>
      <c r="P55" s="12">
        <f>IF(AND(J55="",M55="",O55=""),"",N(M55)+N(J55)*N(N55)+N(O55))</f>
        <v/>
      </c>
      <c r="Q55" s="30">
        <f>IF(P55="","",P55/Lists!$C$18)</f>
        <v/>
      </c>
      <c r="R55" s="31" t="n"/>
      <c r="S55" s="14">
        <f>IF(OR(P55="",R55=""),"",P55*R55)</f>
        <v/>
      </c>
      <c r="T55" s="32" t="n"/>
      <c r="U55" s="14">
        <f>IF(AND(S55="",T55=""),"",N(S55)+N(T55))</f>
        <v/>
      </c>
      <c r="V55" s="23" t="n"/>
      <c r="W55" s="23" t="n"/>
      <c r="X55" s="23" t="n"/>
      <c r="Y55" s="23" t="n"/>
      <c r="Z55" s="22" t="n"/>
      <c r="AA55" s="25" t="n"/>
      <c r="AB55" s="23" t="n"/>
      <c r="AC55" s="23" t="n"/>
      <c r="AD55" s="23" t="n"/>
      <c r="AE55" s="23" t="n"/>
      <c r="AF55" s="23" t="n"/>
      <c r="AG55" s="23" t="n"/>
      <c r="AH55" s="22" t="n"/>
    </row>
    <row r="56">
      <c r="B56" s="23" t="n"/>
      <c r="C56" s="22" t="n"/>
      <c r="D56" s="22" t="n"/>
      <c r="E56" s="23" t="n"/>
      <c r="F56" s="23" t="n"/>
      <c r="G56" s="25" t="n"/>
      <c r="H56" s="25" t="n"/>
      <c r="I56" s="28" t="n"/>
      <c r="J56" s="12">
        <f>IF(OR(H56="",I56=""),"",ROUND(H56*I56,0))</f>
        <v/>
      </c>
      <c r="K56" s="23" t="n"/>
      <c r="L56" s="23" t="n"/>
      <c r="M56" s="25" t="n"/>
      <c r="N56" s="29" t="n"/>
      <c r="O56" s="25" t="n"/>
      <c r="P56" s="12">
        <f>IF(AND(J56="",M56="",O56=""),"",N(M56)+N(J56)*N(N56)+N(O56))</f>
        <v/>
      </c>
      <c r="Q56" s="30">
        <f>IF(P56="","",P56/Lists!$C$18)</f>
        <v/>
      </c>
      <c r="R56" s="31" t="n"/>
      <c r="S56" s="14">
        <f>IF(OR(P56="",R56=""),"",P56*R56)</f>
        <v/>
      </c>
      <c r="T56" s="32" t="n"/>
      <c r="U56" s="14">
        <f>IF(AND(S56="",T56=""),"",N(S56)+N(T56))</f>
        <v/>
      </c>
      <c r="V56" s="23" t="n"/>
      <c r="W56" s="23" t="n"/>
      <c r="X56" s="23" t="n"/>
      <c r="Y56" s="23" t="n"/>
      <c r="Z56" s="22" t="n"/>
      <c r="AA56" s="25" t="n"/>
      <c r="AB56" s="23" t="n"/>
      <c r="AC56" s="23" t="n"/>
      <c r="AD56" s="23" t="n"/>
      <c r="AE56" s="23" t="n"/>
      <c r="AF56" s="23" t="n"/>
      <c r="AG56" s="23" t="n"/>
      <c r="AH56" s="22" t="n"/>
    </row>
    <row r="57">
      <c r="B57" s="23" t="n"/>
      <c r="C57" s="22" t="n"/>
      <c r="D57" s="22" t="n"/>
      <c r="E57" s="23" t="n"/>
      <c r="F57" s="23" t="n"/>
      <c r="G57" s="25" t="n"/>
      <c r="H57" s="25" t="n"/>
      <c r="I57" s="28" t="n"/>
      <c r="J57" s="12">
        <f>IF(OR(H57="",I57=""),"",ROUND(H57*I57,0))</f>
        <v/>
      </c>
      <c r="K57" s="23" t="n"/>
      <c r="L57" s="23" t="n"/>
      <c r="M57" s="25" t="n"/>
      <c r="N57" s="29" t="n"/>
      <c r="O57" s="25" t="n"/>
      <c r="P57" s="12">
        <f>IF(AND(J57="",M57="",O57=""),"",N(M57)+N(J57)*N(N57)+N(O57))</f>
        <v/>
      </c>
      <c r="Q57" s="30">
        <f>IF(P57="","",P57/Lists!$C$18)</f>
        <v/>
      </c>
      <c r="R57" s="31" t="n"/>
      <c r="S57" s="14">
        <f>IF(OR(P57="",R57=""),"",P57*R57)</f>
        <v/>
      </c>
      <c r="T57" s="32" t="n"/>
      <c r="U57" s="14">
        <f>IF(AND(S57="",T57=""),"",N(S57)+N(T57))</f>
        <v/>
      </c>
      <c r="V57" s="23" t="n"/>
      <c r="W57" s="23" t="n"/>
      <c r="X57" s="23" t="n"/>
      <c r="Y57" s="23" t="n"/>
      <c r="Z57" s="22" t="n"/>
      <c r="AA57" s="25" t="n"/>
      <c r="AB57" s="23" t="n"/>
      <c r="AC57" s="23" t="n"/>
      <c r="AD57" s="23" t="n"/>
      <c r="AE57" s="23" t="n"/>
      <c r="AF57" s="23" t="n"/>
      <c r="AG57" s="23" t="n"/>
      <c r="AH57" s="22" t="n"/>
    </row>
    <row r="58">
      <c r="B58" s="23" t="n"/>
      <c r="C58" s="22" t="n"/>
      <c r="D58" s="22" t="n"/>
      <c r="E58" s="23" t="n"/>
      <c r="F58" s="23" t="n"/>
      <c r="G58" s="25" t="n"/>
      <c r="H58" s="25" t="n"/>
      <c r="I58" s="28" t="n"/>
      <c r="J58" s="12">
        <f>IF(OR(H58="",I58=""),"",ROUND(H58*I58,0))</f>
        <v/>
      </c>
      <c r="K58" s="23" t="n"/>
      <c r="L58" s="23" t="n"/>
      <c r="M58" s="25" t="n"/>
      <c r="N58" s="29" t="n"/>
      <c r="O58" s="25" t="n"/>
      <c r="P58" s="12">
        <f>IF(AND(J58="",M58="",O58=""),"",N(M58)+N(J58)*N(N58)+N(O58))</f>
        <v/>
      </c>
      <c r="Q58" s="30">
        <f>IF(P58="","",P58/Lists!$C$18)</f>
        <v/>
      </c>
      <c r="R58" s="31" t="n"/>
      <c r="S58" s="14">
        <f>IF(OR(P58="",R58=""),"",P58*R58)</f>
        <v/>
      </c>
      <c r="T58" s="32" t="n"/>
      <c r="U58" s="14">
        <f>IF(AND(S58="",T58=""),"",N(S58)+N(T58))</f>
        <v/>
      </c>
      <c r="V58" s="23" t="n"/>
      <c r="W58" s="23" t="n"/>
      <c r="X58" s="23" t="n"/>
      <c r="Y58" s="23" t="n"/>
      <c r="Z58" s="22" t="n"/>
      <c r="AA58" s="25" t="n"/>
      <c r="AB58" s="23" t="n"/>
      <c r="AC58" s="23" t="n"/>
      <c r="AD58" s="23" t="n"/>
      <c r="AE58" s="23" t="n"/>
      <c r="AF58" s="23" t="n"/>
      <c r="AG58" s="23" t="n"/>
      <c r="AH58" s="22" t="n"/>
    </row>
    <row r="59">
      <c r="B59" s="23" t="n"/>
      <c r="C59" s="22" t="n"/>
      <c r="D59" s="22" t="n"/>
      <c r="E59" s="23" t="n"/>
      <c r="F59" s="23" t="n"/>
      <c r="G59" s="25" t="n"/>
      <c r="H59" s="25" t="n"/>
      <c r="I59" s="28" t="n"/>
      <c r="J59" s="12">
        <f>IF(OR(H59="",I59=""),"",ROUND(H59*I59,0))</f>
        <v/>
      </c>
      <c r="K59" s="23" t="n"/>
      <c r="L59" s="23" t="n"/>
      <c r="M59" s="25" t="n"/>
      <c r="N59" s="29" t="n"/>
      <c r="O59" s="25" t="n"/>
      <c r="P59" s="12">
        <f>IF(AND(J59="",M59="",O59=""),"",N(M59)+N(J59)*N(N59)+N(O59))</f>
        <v/>
      </c>
      <c r="Q59" s="30">
        <f>IF(P59="","",P59/Lists!$C$18)</f>
        <v/>
      </c>
      <c r="R59" s="31" t="n"/>
      <c r="S59" s="14">
        <f>IF(OR(P59="",R59=""),"",P59*R59)</f>
        <v/>
      </c>
      <c r="T59" s="32" t="n"/>
      <c r="U59" s="14">
        <f>IF(AND(S59="",T59=""),"",N(S59)+N(T59))</f>
        <v/>
      </c>
      <c r="V59" s="23" t="n"/>
      <c r="W59" s="23" t="n"/>
      <c r="X59" s="23" t="n"/>
      <c r="Y59" s="23" t="n"/>
      <c r="Z59" s="22" t="n"/>
      <c r="AA59" s="25" t="n"/>
      <c r="AB59" s="23" t="n"/>
      <c r="AC59" s="23" t="n"/>
      <c r="AD59" s="23" t="n"/>
      <c r="AE59" s="23" t="n"/>
      <c r="AF59" s="23" t="n"/>
      <c r="AG59" s="23" t="n"/>
      <c r="AH59" s="22" t="n"/>
    </row>
    <row r="60">
      <c r="B60" s="23" t="n"/>
      <c r="C60" s="22" t="n"/>
      <c r="D60" s="22" t="n"/>
      <c r="E60" s="23" t="n"/>
      <c r="F60" s="23" t="n"/>
      <c r="G60" s="25" t="n"/>
      <c r="H60" s="25" t="n"/>
      <c r="I60" s="28" t="n"/>
      <c r="J60" s="12">
        <f>IF(OR(H60="",I60=""),"",ROUND(H60*I60,0))</f>
        <v/>
      </c>
      <c r="K60" s="23" t="n"/>
      <c r="L60" s="23" t="n"/>
      <c r="M60" s="25" t="n"/>
      <c r="N60" s="29" t="n"/>
      <c r="O60" s="25" t="n"/>
      <c r="P60" s="12">
        <f>IF(AND(J60="",M60="",O60=""),"",N(M60)+N(J60)*N(N60)+N(O60))</f>
        <v/>
      </c>
      <c r="Q60" s="30">
        <f>IF(P60="","",P60/Lists!$C$18)</f>
        <v/>
      </c>
      <c r="R60" s="31" t="n"/>
      <c r="S60" s="14">
        <f>IF(OR(P60="",R60=""),"",P60*R60)</f>
        <v/>
      </c>
      <c r="T60" s="32" t="n"/>
      <c r="U60" s="14">
        <f>IF(AND(S60="",T60=""),"",N(S60)+N(T60))</f>
        <v/>
      </c>
      <c r="V60" s="23" t="n"/>
      <c r="W60" s="23" t="n"/>
      <c r="X60" s="23" t="n"/>
      <c r="Y60" s="23" t="n"/>
      <c r="Z60" s="22" t="n"/>
      <c r="AA60" s="25" t="n"/>
      <c r="AB60" s="23" t="n"/>
      <c r="AC60" s="23" t="n"/>
      <c r="AD60" s="23" t="n"/>
      <c r="AE60" s="23" t="n"/>
      <c r="AF60" s="23" t="n"/>
      <c r="AG60" s="23" t="n"/>
      <c r="AH60" s="22" t="n"/>
    </row>
    <row r="61">
      <c r="B61" s="23" t="n"/>
      <c r="C61" s="22" t="n"/>
      <c r="D61" s="22" t="n"/>
      <c r="E61" s="23" t="n"/>
      <c r="F61" s="23" t="n"/>
      <c r="G61" s="25" t="n"/>
      <c r="H61" s="25" t="n"/>
      <c r="I61" s="28" t="n"/>
      <c r="J61" s="12">
        <f>IF(OR(H61="",I61=""),"",ROUND(H61*I61,0))</f>
        <v/>
      </c>
      <c r="K61" s="23" t="n"/>
      <c r="L61" s="23" t="n"/>
      <c r="M61" s="25" t="n"/>
      <c r="N61" s="29" t="n"/>
      <c r="O61" s="25" t="n"/>
      <c r="P61" s="12">
        <f>IF(AND(J61="",M61="",O61=""),"",N(M61)+N(J61)*N(N61)+N(O61))</f>
        <v/>
      </c>
      <c r="Q61" s="30">
        <f>IF(P61="","",P61/Lists!$C$18)</f>
        <v/>
      </c>
      <c r="R61" s="31" t="n"/>
      <c r="S61" s="14">
        <f>IF(OR(P61="",R61=""),"",P61*R61)</f>
        <v/>
      </c>
      <c r="T61" s="32" t="n"/>
      <c r="U61" s="14">
        <f>IF(AND(S61="",T61=""),"",N(S61)+N(T61))</f>
        <v/>
      </c>
      <c r="V61" s="23" t="n"/>
      <c r="W61" s="23" t="n"/>
      <c r="X61" s="23" t="n"/>
      <c r="Y61" s="23" t="n"/>
      <c r="Z61" s="22" t="n"/>
      <c r="AA61" s="25" t="n"/>
      <c r="AB61" s="23" t="n"/>
      <c r="AC61" s="23" t="n"/>
      <c r="AD61" s="23" t="n"/>
      <c r="AE61" s="23" t="n"/>
      <c r="AF61" s="23" t="n"/>
      <c r="AG61" s="23" t="n"/>
      <c r="AH61" s="22" t="n"/>
    </row>
    <row r="62">
      <c r="B62" s="23" t="n"/>
      <c r="C62" s="22" t="n"/>
      <c r="D62" s="22" t="n"/>
      <c r="E62" s="23" t="n"/>
      <c r="F62" s="23" t="n"/>
      <c r="G62" s="25" t="n"/>
      <c r="H62" s="25" t="n"/>
      <c r="I62" s="28" t="n"/>
      <c r="J62" s="12">
        <f>IF(OR(H62="",I62=""),"",ROUND(H62*I62,0))</f>
        <v/>
      </c>
      <c r="K62" s="23" t="n"/>
      <c r="L62" s="23" t="n"/>
      <c r="M62" s="25" t="n"/>
      <c r="N62" s="29" t="n"/>
      <c r="O62" s="25" t="n"/>
      <c r="P62" s="12">
        <f>IF(AND(J62="",M62="",O62=""),"",N(M62)+N(J62)*N(N62)+N(O62))</f>
        <v/>
      </c>
      <c r="Q62" s="30">
        <f>IF(P62="","",P62/Lists!$C$18)</f>
        <v/>
      </c>
      <c r="R62" s="31" t="n"/>
      <c r="S62" s="14">
        <f>IF(OR(P62="",R62=""),"",P62*R62)</f>
        <v/>
      </c>
      <c r="T62" s="32" t="n"/>
      <c r="U62" s="14">
        <f>IF(AND(S62="",T62=""),"",N(S62)+N(T62))</f>
        <v/>
      </c>
      <c r="V62" s="23" t="n"/>
      <c r="W62" s="23" t="n"/>
      <c r="X62" s="23" t="n"/>
      <c r="Y62" s="23" t="n"/>
      <c r="Z62" s="22" t="n"/>
      <c r="AA62" s="25" t="n"/>
      <c r="AB62" s="23" t="n"/>
      <c r="AC62" s="23" t="n"/>
      <c r="AD62" s="23" t="n"/>
      <c r="AE62" s="23" t="n"/>
      <c r="AF62" s="23" t="n"/>
      <c r="AG62" s="23" t="n"/>
      <c r="AH62" s="22" t="n"/>
    </row>
    <row r="63">
      <c r="B63" s="23" t="n"/>
      <c r="C63" s="22" t="n"/>
      <c r="D63" s="22" t="n"/>
      <c r="E63" s="23" t="n"/>
      <c r="F63" s="23" t="n"/>
      <c r="G63" s="25" t="n"/>
      <c r="H63" s="25" t="n"/>
      <c r="I63" s="28" t="n"/>
      <c r="J63" s="12">
        <f>IF(OR(H63="",I63=""),"",ROUND(H63*I63,0))</f>
        <v/>
      </c>
      <c r="K63" s="23" t="n"/>
      <c r="L63" s="23" t="n"/>
      <c r="M63" s="25" t="n"/>
      <c r="N63" s="29" t="n"/>
      <c r="O63" s="25" t="n"/>
      <c r="P63" s="12">
        <f>IF(AND(J63="",M63="",O63=""),"",N(M63)+N(J63)*N(N63)+N(O63))</f>
        <v/>
      </c>
      <c r="Q63" s="30">
        <f>IF(P63="","",P63/Lists!$C$18)</f>
        <v/>
      </c>
      <c r="R63" s="31" t="n"/>
      <c r="S63" s="14">
        <f>IF(OR(P63="",R63=""),"",P63*R63)</f>
        <v/>
      </c>
      <c r="T63" s="32" t="n"/>
      <c r="U63" s="14">
        <f>IF(AND(S63="",T63=""),"",N(S63)+N(T63))</f>
        <v/>
      </c>
      <c r="V63" s="23" t="n"/>
      <c r="W63" s="23" t="n"/>
      <c r="X63" s="23" t="n"/>
      <c r="Y63" s="23" t="n"/>
      <c r="Z63" s="22" t="n"/>
      <c r="AA63" s="25" t="n"/>
      <c r="AB63" s="23" t="n"/>
      <c r="AC63" s="23" t="n"/>
      <c r="AD63" s="23" t="n"/>
      <c r="AE63" s="23" t="n"/>
      <c r="AF63" s="23" t="n"/>
      <c r="AG63" s="23" t="n"/>
      <c r="AH63" s="22" t="n"/>
    </row>
    <row r="64">
      <c r="B64" s="23" t="n"/>
      <c r="C64" s="22" t="n"/>
      <c r="D64" s="22" t="n"/>
      <c r="E64" s="23" t="n"/>
      <c r="F64" s="23" t="n"/>
      <c r="G64" s="25" t="n"/>
      <c r="H64" s="25" t="n"/>
      <c r="I64" s="28" t="n"/>
      <c r="J64" s="12">
        <f>IF(OR(H64="",I64=""),"",ROUND(H64*I64,0))</f>
        <v/>
      </c>
      <c r="K64" s="23" t="n"/>
      <c r="L64" s="23" t="n"/>
      <c r="M64" s="25" t="n"/>
      <c r="N64" s="29" t="n"/>
      <c r="O64" s="25" t="n"/>
      <c r="P64" s="12">
        <f>IF(AND(J64="",M64="",O64=""),"",N(M64)+N(J64)*N(N64)+N(O64))</f>
        <v/>
      </c>
      <c r="Q64" s="30">
        <f>IF(P64="","",P64/Lists!$C$18)</f>
        <v/>
      </c>
      <c r="R64" s="31" t="n"/>
      <c r="S64" s="14">
        <f>IF(OR(P64="",R64=""),"",P64*R64)</f>
        <v/>
      </c>
      <c r="T64" s="32" t="n"/>
      <c r="U64" s="14">
        <f>IF(AND(S64="",T64=""),"",N(S64)+N(T64))</f>
        <v/>
      </c>
      <c r="V64" s="23" t="n"/>
      <c r="W64" s="23" t="n"/>
      <c r="X64" s="23" t="n"/>
      <c r="Y64" s="23" t="n"/>
      <c r="Z64" s="22" t="n"/>
      <c r="AA64" s="25" t="n"/>
      <c r="AB64" s="23" t="n"/>
      <c r="AC64" s="23" t="n"/>
      <c r="AD64" s="23" t="n"/>
      <c r="AE64" s="23" t="n"/>
      <c r="AF64" s="23" t="n"/>
      <c r="AG64" s="23" t="n"/>
      <c r="AH64" s="22" t="n"/>
    </row>
    <row r="65">
      <c r="B65" s="23" t="n"/>
      <c r="C65" s="22" t="n"/>
      <c r="D65" s="22" t="n"/>
      <c r="E65" s="23" t="n"/>
      <c r="F65" s="23" t="n"/>
      <c r="G65" s="25" t="n"/>
      <c r="H65" s="25" t="n"/>
      <c r="I65" s="28" t="n"/>
      <c r="J65" s="12">
        <f>IF(OR(H65="",I65=""),"",ROUND(H65*I65,0))</f>
        <v/>
      </c>
      <c r="K65" s="23" t="n"/>
      <c r="L65" s="23" t="n"/>
      <c r="M65" s="25" t="n"/>
      <c r="N65" s="29" t="n"/>
      <c r="O65" s="25" t="n"/>
      <c r="P65" s="12">
        <f>IF(AND(J65="",M65="",O65=""),"",N(M65)+N(J65)*N(N65)+N(O65))</f>
        <v/>
      </c>
      <c r="Q65" s="30">
        <f>IF(P65="","",P65/Lists!$C$18)</f>
        <v/>
      </c>
      <c r="R65" s="31" t="n"/>
      <c r="S65" s="14">
        <f>IF(OR(P65="",R65=""),"",P65*R65)</f>
        <v/>
      </c>
      <c r="T65" s="32" t="n"/>
      <c r="U65" s="14">
        <f>IF(AND(S65="",T65=""),"",N(S65)+N(T65))</f>
        <v/>
      </c>
      <c r="V65" s="23" t="n"/>
      <c r="W65" s="23" t="n"/>
      <c r="X65" s="23" t="n"/>
      <c r="Y65" s="23" t="n"/>
      <c r="Z65" s="22" t="n"/>
      <c r="AA65" s="25" t="n"/>
      <c r="AB65" s="23" t="n"/>
      <c r="AC65" s="23" t="n"/>
      <c r="AD65" s="23" t="n"/>
      <c r="AE65" s="23" t="n"/>
      <c r="AF65" s="23" t="n"/>
      <c r="AG65" s="23" t="n"/>
      <c r="AH65" s="22" t="n"/>
    </row>
    <row r="66">
      <c r="B66" s="23" t="n"/>
      <c r="C66" s="22" t="n"/>
      <c r="D66" s="22" t="n"/>
      <c r="E66" s="23" t="n"/>
      <c r="F66" s="23" t="n"/>
      <c r="G66" s="25" t="n"/>
      <c r="H66" s="25" t="n"/>
      <c r="I66" s="28" t="n"/>
      <c r="J66" s="12">
        <f>IF(OR(H66="",I66=""),"",ROUND(H66*I66,0))</f>
        <v/>
      </c>
      <c r="K66" s="23" t="n"/>
      <c r="L66" s="23" t="n"/>
      <c r="M66" s="25" t="n"/>
      <c r="N66" s="29" t="n"/>
      <c r="O66" s="25" t="n"/>
      <c r="P66" s="12">
        <f>IF(AND(J66="",M66="",O66=""),"",N(M66)+N(J66)*N(N66)+N(O66))</f>
        <v/>
      </c>
      <c r="Q66" s="30">
        <f>IF(P66="","",P66/Lists!$C$18)</f>
        <v/>
      </c>
      <c r="R66" s="31" t="n"/>
      <c r="S66" s="14">
        <f>IF(OR(P66="",R66=""),"",P66*R66)</f>
        <v/>
      </c>
      <c r="T66" s="32" t="n"/>
      <c r="U66" s="14">
        <f>IF(AND(S66="",T66=""),"",N(S66)+N(T66))</f>
        <v/>
      </c>
      <c r="V66" s="23" t="n"/>
      <c r="W66" s="23" t="n"/>
      <c r="X66" s="23" t="n"/>
      <c r="Y66" s="23" t="n"/>
      <c r="Z66" s="22" t="n"/>
      <c r="AA66" s="25" t="n"/>
      <c r="AB66" s="23" t="n"/>
      <c r="AC66" s="23" t="n"/>
      <c r="AD66" s="23" t="n"/>
      <c r="AE66" s="23" t="n"/>
      <c r="AF66" s="23" t="n"/>
      <c r="AG66" s="23" t="n"/>
      <c r="AH66" s="22" t="n"/>
    </row>
    <row r="67">
      <c r="B67" s="23" t="n"/>
      <c r="C67" s="22" t="n"/>
      <c r="D67" s="22" t="n"/>
      <c r="E67" s="23" t="n"/>
      <c r="F67" s="23" t="n"/>
      <c r="G67" s="25" t="n"/>
      <c r="H67" s="25" t="n"/>
      <c r="I67" s="28" t="n"/>
      <c r="J67" s="12">
        <f>IF(OR(H67="",I67=""),"",ROUND(H67*I67,0))</f>
        <v/>
      </c>
      <c r="K67" s="23" t="n"/>
      <c r="L67" s="23" t="n"/>
      <c r="M67" s="25" t="n"/>
      <c r="N67" s="29" t="n"/>
      <c r="O67" s="25" t="n"/>
      <c r="P67" s="12">
        <f>IF(AND(J67="",M67="",O67=""),"",N(M67)+N(J67)*N(N67)+N(O67))</f>
        <v/>
      </c>
      <c r="Q67" s="30">
        <f>IF(P67="","",P67/Lists!$C$18)</f>
        <v/>
      </c>
      <c r="R67" s="31" t="n"/>
      <c r="S67" s="14">
        <f>IF(OR(P67="",R67=""),"",P67*R67)</f>
        <v/>
      </c>
      <c r="T67" s="32" t="n"/>
      <c r="U67" s="14">
        <f>IF(AND(S67="",T67=""),"",N(S67)+N(T67))</f>
        <v/>
      </c>
      <c r="V67" s="23" t="n"/>
      <c r="W67" s="23" t="n"/>
      <c r="X67" s="23" t="n"/>
      <c r="Y67" s="23" t="n"/>
      <c r="Z67" s="22" t="n"/>
      <c r="AA67" s="25" t="n"/>
      <c r="AB67" s="23" t="n"/>
      <c r="AC67" s="23" t="n"/>
      <c r="AD67" s="23" t="n"/>
      <c r="AE67" s="23" t="n"/>
      <c r="AF67" s="23" t="n"/>
      <c r="AG67" s="23" t="n"/>
      <c r="AH67" s="22" t="n"/>
    </row>
    <row r="68">
      <c r="B68" s="23" t="n"/>
      <c r="C68" s="22" t="n"/>
      <c r="D68" s="22" t="n"/>
      <c r="E68" s="23" t="n"/>
      <c r="F68" s="23" t="n"/>
      <c r="G68" s="25" t="n"/>
      <c r="H68" s="25" t="n"/>
      <c r="I68" s="28" t="n"/>
      <c r="J68" s="12">
        <f>IF(OR(H68="",I68=""),"",ROUND(H68*I68,0))</f>
        <v/>
      </c>
      <c r="K68" s="23" t="n"/>
      <c r="L68" s="23" t="n"/>
      <c r="M68" s="25" t="n"/>
      <c r="N68" s="29" t="n"/>
      <c r="O68" s="25" t="n"/>
      <c r="P68" s="12">
        <f>IF(AND(J68="",M68="",O68=""),"",N(M68)+N(J68)*N(N68)+N(O68))</f>
        <v/>
      </c>
      <c r="Q68" s="30">
        <f>IF(P68="","",P68/Lists!$C$18)</f>
        <v/>
      </c>
      <c r="R68" s="31" t="n"/>
      <c r="S68" s="14">
        <f>IF(OR(P68="",R68=""),"",P68*R68)</f>
        <v/>
      </c>
      <c r="T68" s="32" t="n"/>
      <c r="U68" s="14">
        <f>IF(AND(S68="",T68=""),"",N(S68)+N(T68))</f>
        <v/>
      </c>
      <c r="V68" s="23" t="n"/>
      <c r="W68" s="23" t="n"/>
      <c r="X68" s="23" t="n"/>
      <c r="Y68" s="23" t="n"/>
      <c r="Z68" s="22" t="n"/>
      <c r="AA68" s="25" t="n"/>
      <c r="AB68" s="23" t="n"/>
      <c r="AC68" s="23" t="n"/>
      <c r="AD68" s="23" t="n"/>
      <c r="AE68" s="23" t="n"/>
      <c r="AF68" s="23" t="n"/>
      <c r="AG68" s="23" t="n"/>
      <c r="AH68" s="22" t="n"/>
    </row>
    <row r="69">
      <c r="B69" s="23" t="n"/>
      <c r="C69" s="22" t="n"/>
      <c r="D69" s="22" t="n"/>
      <c r="E69" s="23" t="n"/>
      <c r="F69" s="23" t="n"/>
      <c r="G69" s="25" t="n"/>
      <c r="H69" s="25" t="n"/>
      <c r="I69" s="28" t="n"/>
      <c r="J69" s="12">
        <f>IF(OR(H69="",I69=""),"",ROUND(H69*I69,0))</f>
        <v/>
      </c>
      <c r="K69" s="23" t="n"/>
      <c r="L69" s="23" t="n"/>
      <c r="M69" s="25" t="n"/>
      <c r="N69" s="29" t="n"/>
      <c r="O69" s="25" t="n"/>
      <c r="P69" s="12">
        <f>IF(AND(J69="",M69="",O69=""),"",N(M69)+N(J69)*N(N69)+N(O69))</f>
        <v/>
      </c>
      <c r="Q69" s="30">
        <f>IF(P69="","",P69/Lists!$C$18)</f>
        <v/>
      </c>
      <c r="R69" s="31" t="n"/>
      <c r="S69" s="14">
        <f>IF(OR(P69="",R69=""),"",P69*R69)</f>
        <v/>
      </c>
      <c r="T69" s="32" t="n"/>
      <c r="U69" s="14">
        <f>IF(AND(S69="",T69=""),"",N(S69)+N(T69))</f>
        <v/>
      </c>
      <c r="V69" s="23" t="n"/>
      <c r="W69" s="23" t="n"/>
      <c r="X69" s="23" t="n"/>
      <c r="Y69" s="23" t="n"/>
      <c r="Z69" s="22" t="n"/>
      <c r="AA69" s="25" t="n"/>
      <c r="AB69" s="23" t="n"/>
      <c r="AC69" s="23" t="n"/>
      <c r="AD69" s="23" t="n"/>
      <c r="AE69" s="23" t="n"/>
      <c r="AF69" s="23" t="n"/>
      <c r="AG69" s="23" t="n"/>
      <c r="AH69" s="22" t="n"/>
    </row>
    <row r="70">
      <c r="B70" s="15" t="inlineStr">
        <is>
          <t>Executive &amp; Strategy total</t>
        </is>
      </c>
      <c r="C70" s="33" t="n"/>
      <c r="D70" s="33" t="n"/>
      <c r="E70" s="33" t="n"/>
      <c r="F70" s="33" t="n"/>
      <c r="G70" s="16">
        <f>SUM(G10:G69)</f>
        <v/>
      </c>
      <c r="H70" s="16">
        <f>SUM(H10:H69)</f>
        <v/>
      </c>
      <c r="I70" s="33" t="n"/>
      <c r="J70" s="16">
        <f>SUM(J10:J69)</f>
        <v/>
      </c>
      <c r="K70" s="33" t="n"/>
      <c r="L70" s="33" t="n"/>
      <c r="M70" s="16">
        <f>SUM(M10:M69)</f>
        <v/>
      </c>
      <c r="N70" s="33" t="n"/>
      <c r="O70" s="16">
        <f>SUM(O10:O69)</f>
        <v/>
      </c>
      <c r="P70" s="16">
        <f>SUM(P10:P69)</f>
        <v/>
      </c>
      <c r="Q70" s="34">
        <f>SUM(Q10:Q69)</f>
        <v/>
      </c>
      <c r="R70" s="33" t="n"/>
      <c r="S70" s="18">
        <f>SUM(S10:S69)</f>
        <v/>
      </c>
      <c r="T70" s="18">
        <f>SUM(T10:T69)</f>
        <v/>
      </c>
      <c r="U70" s="18">
        <f>SUM(U10:U69)</f>
        <v/>
      </c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</row>
  </sheetData>
  <autoFilter ref="B9:AH69"/>
  <conditionalFormatting sqref="AB10:AC69">
    <cfRule type="expression" priority="1" dxfId="0">
      <formula>AB10="Critical"</formula>
    </cfRule>
  </conditionalFormatting>
  <conditionalFormatting sqref="W10:W69">
    <cfRule type="expression" priority="2" dxfId="1">
      <formula>W10="Yes"</formula>
    </cfRule>
  </conditionalFormatting>
  <conditionalFormatting sqref="AF10:AF69">
    <cfRule type="expression" priority="3" dxfId="1">
      <formula>OR(AF10="Before cutover",AF10="Cutover day")</formula>
    </cfRule>
  </conditionalFormatting>
  <dataValidations count="6">
    <dataValidation sqref="K10:K69" showDropDown="0" showInputMessage="0" showErrorMessage="0" allowBlank="1" type="list">
      <formula1>=Lists!$B$7:$B$14</formula1>
    </dataValidation>
    <dataValidation sqref="L10:L69 AB10:AB69 AC10:AC69" showDropDown="0" showInputMessage="0" showErrorMessage="0" allowBlank="1" type="list">
      <formula1>=Lists!$C$7:$C$10</formula1>
    </dataValidation>
    <dataValidation sqref="V10:V69 W10:W69 X10:X69 Y10:Y69 AD10:AD69" showDropDown="0" showInputMessage="0" showErrorMessage="0" allowBlank="1" type="list">
      <formula1>=Lists!$D$7:$D$10</formula1>
    </dataValidation>
    <dataValidation sqref="AE10:AE69" showDropDown="0" showInputMessage="0" showErrorMessage="0" allowBlank="1" type="list">
      <formula1>=Lists!$E$7:$E$13</formula1>
    </dataValidation>
    <dataValidation sqref="AF10:AF69" showDropDown="0" showInputMessage="0" showErrorMessage="0" allowBlank="1" type="list">
      <formula1>=Lists!$F$7:$F$12</formula1>
    </dataValidation>
    <dataValidation sqref="AG10:AG69" showDropDown="0" showInputMessage="0" showErrorMessage="0" allowBlank="1" type="list">
      <formula1>=Lists!$G$7:$G$13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0E2030"/>
    <outlinePr summaryBelow="1" summaryRight="1"/>
    <pageSetUpPr fitToPage="1"/>
  </sheetPr>
  <dimension ref="A1:S47"/>
  <sheetViews>
    <sheetView showGridLines="0" zoomScale="100" workbookViewId="0">
      <selection activeCell="A1" sqref="A1"/>
    </sheetView>
  </sheetViews>
  <sheetFormatPr baseColWidth="8" defaultRowHeight="18"/>
  <cols>
    <col width="2.5" customWidth="1" min="1" max="1"/>
    <col width="30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17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Lists and definitions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The choices behind the drop-downs, the FTE day setting and what each column means.</t>
        </is>
      </c>
    </row>
    <row r="5" ht="26" customHeight="1">
      <c r="B5" s="35" t="inlineStr">
        <is>
          <t>Drop-down lists</t>
        </is>
      </c>
    </row>
    <row r="6" ht="22" customHeight="1">
      <c r="B6" s="36" t="inlineStr">
        <is>
          <t>Change type</t>
        </is>
      </c>
      <c r="C6" s="36" t="inlineStr">
        <is>
          <t>Level</t>
        </is>
      </c>
      <c r="D6" s="36" t="inlineStr">
        <is>
          <t>Yes / no</t>
        </is>
      </c>
      <c r="E6" s="36" t="inlineStr">
        <is>
          <t>Disposition</t>
        </is>
      </c>
      <c r="F6" s="36" t="inlineStr">
        <is>
          <t>Required timing</t>
        </is>
      </c>
      <c r="G6" s="36" t="inlineStr">
        <is>
          <t>Status</t>
        </is>
      </c>
      <c r="H6" s="36" t="inlineStr">
        <is>
          <t>Decision status</t>
        </is>
      </c>
    </row>
    <row r="7">
      <c r="B7" s="23" t="inlineStr">
        <is>
          <t>Content update</t>
        </is>
      </c>
      <c r="C7" s="23" t="inlineStr">
        <is>
          <t>Low</t>
        </is>
      </c>
      <c r="D7" s="23" t="inlineStr">
        <is>
          <t>Yes</t>
        </is>
      </c>
      <c r="E7" s="23" t="inlineStr">
        <is>
          <t>Update</t>
        </is>
      </c>
      <c r="F7" s="23" t="inlineStr">
        <is>
          <t>Before cutover</t>
        </is>
      </c>
      <c r="G7" s="23" t="inlineStr">
        <is>
          <t>Not started</t>
        </is>
      </c>
      <c r="H7" s="23" t="inlineStr">
        <is>
          <t>Open</t>
        </is>
      </c>
    </row>
    <row r="8">
      <c r="B8" s="23" t="inlineStr">
        <is>
          <t>Visual update</t>
        </is>
      </c>
      <c r="C8" s="23" t="inlineStr">
        <is>
          <t>Medium</t>
        </is>
      </c>
      <c r="D8" s="23" t="inlineStr">
        <is>
          <t>No</t>
        </is>
      </c>
      <c r="E8" s="23" t="inlineStr">
        <is>
          <t>Redirect</t>
        </is>
      </c>
      <c r="F8" s="23" t="inlineStr">
        <is>
          <t>Cutover day</t>
        </is>
      </c>
      <c r="G8" s="23" t="inlineStr">
        <is>
          <t>Scoping</t>
        </is>
      </c>
      <c r="H8" s="23" t="inlineStr">
        <is>
          <t>In review</t>
        </is>
      </c>
    </row>
    <row r="9">
      <c r="B9" s="23" t="inlineStr">
        <is>
          <t>URL / link</t>
        </is>
      </c>
      <c r="C9" s="23" t="inlineStr">
        <is>
          <t>High</t>
        </is>
      </c>
      <c r="D9" s="23" t="inlineStr">
        <is>
          <t>Partial</t>
        </is>
      </c>
      <c r="E9" s="23" t="inlineStr">
        <is>
          <t>Merge</t>
        </is>
      </c>
      <c r="F9" s="23" t="inlineStr">
        <is>
          <t>0–30 days</t>
        </is>
      </c>
      <c r="G9" s="23" t="inlineStr">
        <is>
          <t>Validated</t>
        </is>
      </c>
      <c r="H9" s="23" t="inlineStr">
        <is>
          <t>Decided</t>
        </is>
      </c>
    </row>
    <row r="10">
      <c r="B10" s="23" t="inlineStr">
        <is>
          <t>Legal text</t>
        </is>
      </c>
      <c r="C10" s="23" t="inlineStr">
        <is>
          <t>Critical</t>
        </is>
      </c>
      <c r="D10" s="23" t="inlineStr">
        <is>
          <t>Unknown</t>
        </is>
      </c>
      <c r="E10" s="23" t="inlineStr">
        <is>
          <t>Keep as is</t>
        </is>
      </c>
      <c r="F10" s="23" t="inlineStr">
        <is>
          <t>31–90 days</t>
        </is>
      </c>
      <c r="G10" s="23" t="inlineStr">
        <is>
          <t>Approved</t>
        </is>
      </c>
      <c r="H10" s="23" t="inlineStr">
        <is>
          <t>Deferred</t>
        </is>
      </c>
    </row>
    <row r="11">
      <c r="B11" s="23" t="inlineStr">
        <is>
          <t>Technical configuration</t>
        </is>
      </c>
      <c r="E11" s="23" t="inlineStr">
        <is>
          <t>Archive</t>
        </is>
      </c>
      <c r="F11" s="23" t="inlineStr">
        <is>
          <t>90+ days</t>
        </is>
      </c>
      <c r="G11" s="23" t="inlineStr">
        <is>
          <t>In progress</t>
        </is>
      </c>
    </row>
    <row r="12">
      <c r="B12" s="23" t="inlineStr">
        <is>
          <t>Full rebuild</t>
        </is>
      </c>
      <c r="E12" s="23" t="inlineStr">
        <is>
          <t>Retire</t>
        </is>
      </c>
      <c r="F12" s="23" t="inlineStr">
        <is>
          <t>TBD</t>
        </is>
      </c>
      <c r="G12" s="23" t="inlineStr">
        <is>
          <t>Complete</t>
        </is>
      </c>
    </row>
    <row r="13">
      <c r="B13" s="23" t="inlineStr">
        <is>
          <t>Multiple changes</t>
        </is>
      </c>
      <c r="E13" s="23" t="inlineStr">
        <is>
          <t>No change</t>
        </is>
      </c>
      <c r="G13" s="23" t="inlineStr">
        <is>
          <t>Not applicable</t>
        </is>
      </c>
    </row>
    <row r="14">
      <c r="B14" s="23" t="inlineStr">
        <is>
          <t>Review only</t>
        </is>
      </c>
    </row>
    <row r="17">
      <c r="B17" s="3" t="inlineStr">
        <is>
          <t>Setting</t>
        </is>
      </c>
    </row>
    <row r="18">
      <c r="B18" s="37" t="inlineStr">
        <is>
          <t>Hours per FTE day</t>
        </is>
      </c>
      <c r="C18" s="38" t="n">
        <v>8</v>
      </c>
    </row>
    <row r="21">
      <c r="B21" s="3" t="inlineStr">
        <is>
          <t>Column definitions</t>
        </is>
      </c>
    </row>
    <row r="22" ht="22" customHeight="1">
      <c r="B22" s="10" t="inlineStr">
        <is>
          <t>Column</t>
        </is>
      </c>
      <c r="C22" s="10" t="inlineStr">
        <is>
          <t>What to enter</t>
        </is>
      </c>
    </row>
    <row r="23" ht="28" customHeight="1">
      <c r="B23" s="39" t="inlineStr">
        <is>
          <t>System or location</t>
        </is>
      </c>
      <c r="C23" s="40" t="inlineStr">
        <is>
          <t>Where the item lives or is managed today: a CMS, CRM, shared drive, codebase or vendor platform.</t>
        </is>
      </c>
      <c r="D23" s="21" t="n"/>
      <c r="E23" s="21" t="n"/>
      <c r="F23" s="21" t="n"/>
      <c r="G23" s="21" t="n"/>
      <c r="H23" s="21" t="n"/>
    </row>
    <row r="24" ht="28" customHeight="1">
      <c r="B24" s="39" t="inlineStr">
        <is>
          <t>Total quantity</t>
        </is>
      </c>
      <c r="C24" s="40" t="inlineStr">
        <is>
          <t>Every known item of this kind, including old and archived ones.</t>
        </is>
      </c>
      <c r="D24" s="21" t="n"/>
      <c r="E24" s="21" t="n"/>
      <c r="F24" s="21" t="n"/>
      <c r="G24" s="21" t="n"/>
      <c r="H24" s="21" t="n"/>
    </row>
    <row r="25" ht="28" customHeight="1">
      <c r="B25" s="39" t="inlineStr">
        <is>
          <t>Active quantity</t>
        </is>
      </c>
      <c r="C25" s="40" t="inlineStr">
        <is>
          <t>Items still in use that need a look. Leave out anything already obsolete.</t>
        </is>
      </c>
      <c r="D25" s="21" t="n"/>
      <c r="E25" s="21" t="n"/>
      <c r="F25" s="21" t="n"/>
      <c r="G25" s="21" t="n"/>
      <c r="H25" s="21" t="n"/>
    </row>
    <row r="26" ht="28" customHeight="1">
      <c r="B26" s="39" t="inlineStr">
        <is>
          <t>% needing change</t>
        </is>
      </c>
      <c r="C26" s="40" t="inlineStr">
        <is>
          <t>Your best estimate of the share of active items that will need work.</t>
        </is>
      </c>
      <c r="D26" s="21" t="n"/>
      <c r="E26" s="21" t="n"/>
      <c r="F26" s="21" t="n"/>
      <c r="G26" s="21" t="n"/>
      <c r="H26" s="21" t="n"/>
    </row>
    <row r="27" ht="28" customHeight="1">
      <c r="B27" s="39" t="inlineStr">
        <is>
          <t>Items to update</t>
        </is>
      </c>
      <c r="C27" s="40" t="inlineStr">
        <is>
          <t>Calculated: active quantity × % needing change.</t>
        </is>
      </c>
      <c r="D27" s="21" t="n"/>
      <c r="E27" s="21" t="n"/>
      <c r="F27" s="21" t="n"/>
      <c r="G27" s="21" t="n"/>
      <c r="H27" s="21" t="n"/>
    </row>
    <row r="28" ht="28" customHeight="1">
      <c r="B28" s="39" t="inlineStr">
        <is>
          <t>Change type</t>
        </is>
      </c>
      <c r="C28" s="40" t="inlineStr">
        <is>
          <t>The main kind of change: content, visual, links, legal text, technical set-up, a rebuild, several, or review only.</t>
        </is>
      </c>
      <c r="D28" s="21" t="n"/>
      <c r="E28" s="21" t="n"/>
      <c r="F28" s="21" t="n"/>
      <c r="G28" s="21" t="n"/>
      <c r="H28" s="21" t="n"/>
    </row>
    <row r="29" ht="28" customHeight="1">
      <c r="B29" s="39" t="inlineStr">
        <is>
          <t>Complexity</t>
        </is>
      </c>
      <c r="C29" s="40" t="inlineStr">
        <is>
          <t>How hard the change is, counting effort, approvals, testing and risk: low, medium, high or critical.</t>
        </is>
      </c>
      <c r="D29" s="21" t="n"/>
      <c r="E29" s="21" t="n"/>
      <c r="F29" s="21" t="n"/>
      <c r="G29" s="21" t="n"/>
      <c r="H29" s="21" t="n"/>
    </row>
    <row r="30" ht="28" customHeight="1">
      <c r="B30" s="39" t="inlineStr">
        <is>
          <t>One-time setup hours</t>
        </is>
      </c>
      <c r="C30" s="40" t="inlineStr">
        <is>
          <t>Hours to build the new master, template or configuration once, before item-by-item work.</t>
        </is>
      </c>
      <c r="D30" s="21" t="n"/>
      <c r="E30" s="21" t="n"/>
      <c r="F30" s="21" t="n"/>
      <c r="G30" s="21" t="n"/>
      <c r="H30" s="21" t="n"/>
    </row>
    <row r="31" ht="28" customHeight="1">
      <c r="B31" s="39" t="inlineStr">
        <is>
          <t>Avg hours per item</t>
        </is>
      </c>
      <c r="C31" s="40" t="inlineStr">
        <is>
          <t>Hands-on hours to update one item once set-up is done.</t>
        </is>
      </c>
      <c r="D31" s="21" t="n"/>
      <c r="E31" s="21" t="n"/>
      <c r="F31" s="21" t="n"/>
      <c r="G31" s="21" t="n"/>
      <c r="H31" s="21" t="n"/>
    </row>
    <row r="32" ht="28" customHeight="1">
      <c r="B32" s="39" t="inlineStr">
        <is>
          <t>QA and review hours</t>
        </is>
      </c>
      <c r="C32" s="40" t="inlineStr">
        <is>
          <t>Total hours for review, testing, approvals and checks for the whole row, not per item.</t>
        </is>
      </c>
      <c r="D32" s="21" t="n"/>
      <c r="E32" s="21" t="n"/>
      <c r="F32" s="21" t="n"/>
      <c r="G32" s="21" t="n"/>
      <c r="H32" s="21" t="n"/>
    </row>
    <row r="33" ht="28" customHeight="1">
      <c r="B33" s="39" t="inlineStr">
        <is>
          <t>Total internal hours</t>
        </is>
      </c>
      <c r="C33" s="40" t="inlineStr">
        <is>
          <t>Calculated: setup hours + (items to update × avg hours per item) + QA hours.</t>
        </is>
      </c>
      <c r="D33" s="21" t="n"/>
      <c r="E33" s="21" t="n"/>
      <c r="F33" s="21" t="n"/>
      <c r="G33" s="21" t="n"/>
      <c r="H33" s="21" t="n"/>
    </row>
    <row r="34" ht="28" customHeight="1">
      <c r="B34" s="39" t="inlineStr">
        <is>
          <t>Internal FTE days</t>
        </is>
      </c>
      <c r="C34" s="40" t="inlineStr">
        <is>
          <t>Calculated: total internal hours ÷ hours per FTE day (set below). A planning measure, not a staffing plan.</t>
        </is>
      </c>
      <c r="D34" s="21" t="n"/>
      <c r="E34" s="21" t="n"/>
      <c r="F34" s="21" t="n"/>
      <c r="G34" s="21" t="n"/>
      <c r="H34" s="21" t="n"/>
    </row>
    <row r="35" ht="28" customHeight="1">
      <c r="B35" s="39" t="inlineStr">
        <is>
          <t>Blended hourly rate</t>
        </is>
      </c>
      <c r="C35" s="40" t="inlineStr">
        <is>
          <t>An agreed average hourly cost for the internal people doing the work.</t>
        </is>
      </c>
      <c r="D35" s="21" t="n"/>
      <c r="E35" s="21" t="n"/>
      <c r="F35" s="21" t="n"/>
      <c r="G35" s="21" t="n"/>
      <c r="H35" s="21" t="n"/>
    </row>
    <row r="36" ht="28" customHeight="1">
      <c r="B36" s="39" t="inlineStr">
        <is>
          <t>Internal cost</t>
        </is>
      </c>
      <c r="C36" s="40" t="inlineStr">
        <is>
          <t>Calculated: total internal hours × blended hourly rate.</t>
        </is>
      </c>
      <c r="D36" s="21" t="n"/>
      <c r="E36" s="21" t="n"/>
      <c r="F36" s="21" t="n"/>
      <c r="G36" s="21" t="n"/>
      <c r="H36" s="21" t="n"/>
    </row>
    <row r="37" ht="28" customHeight="1">
      <c r="B37" s="39" t="inlineStr">
        <is>
          <t>External or vendor cost</t>
        </is>
      </c>
      <c r="C37" s="40" t="inlineStr">
        <is>
          <t>Agencies, contractors, developers, printers, translators, software and other outside spend.</t>
        </is>
      </c>
      <c r="D37" s="21" t="n"/>
      <c r="E37" s="21" t="n"/>
      <c r="F37" s="21" t="n"/>
      <c r="G37" s="21" t="n"/>
      <c r="H37" s="21" t="n"/>
    </row>
    <row r="38" ht="28" customHeight="1">
      <c r="B38" s="39" t="inlineStr">
        <is>
          <t>Total estimated cost</t>
        </is>
      </c>
      <c r="C38" s="40" t="inlineStr">
        <is>
          <t>Calculated: internal cost + external or vendor cost.</t>
        </is>
      </c>
      <c r="D38" s="21" t="n"/>
      <c r="E38" s="21" t="n"/>
      <c r="F38" s="21" t="n"/>
      <c r="G38" s="21" t="n"/>
      <c r="H38" s="21" t="n"/>
    </row>
    <row r="39" ht="28" customHeight="1">
      <c r="B39" s="39" t="inlineStr">
        <is>
          <t>Can bulk update or automate?</t>
        </is>
      </c>
      <c r="C39" s="40" t="inlineStr">
        <is>
          <t>Whether scripts, bulk edits, global templates or configuration can do some of the work.</t>
        </is>
      </c>
      <c r="D39" s="21" t="n"/>
      <c r="E39" s="21" t="n"/>
      <c r="F39" s="21" t="n"/>
      <c r="G39" s="21" t="n"/>
      <c r="H39" s="21" t="n"/>
    </row>
    <row r="40" ht="28" customHeight="1">
      <c r="B40" s="39" t="inlineStr">
        <is>
          <t>Customer action needed?</t>
        </is>
      </c>
      <c r="C40" s="40" t="inlineStr">
        <is>
          <t>Whether customers must change something themselves, such as allowlists, integrations or SSO.</t>
        </is>
      </c>
      <c r="D40" s="21" t="n"/>
      <c r="E40" s="21" t="n"/>
      <c r="F40" s="21" t="n"/>
      <c r="G40" s="21" t="n"/>
      <c r="H40" s="21" t="n"/>
    </row>
    <row r="41" ht="28" customHeight="1">
      <c r="B41" s="39" t="inlineStr">
        <is>
          <t>External notice needed?</t>
        </is>
      </c>
      <c r="C41" s="40" t="inlineStr">
        <is>
          <t>Whether customers, partners, suppliers or others must be told, even if they don't act.</t>
        </is>
      </c>
      <c r="D41" s="21" t="n"/>
      <c r="E41" s="21" t="n"/>
      <c r="F41" s="21" t="n"/>
      <c r="G41" s="21" t="n"/>
      <c r="H41" s="21" t="n"/>
    </row>
    <row r="42" ht="28" customHeight="1">
      <c r="B42" s="39" t="inlineStr">
        <is>
          <t>Lead time</t>
        </is>
      </c>
      <c r="C42" s="40" t="inlineStr">
        <is>
          <t>Elapsed calendar days from start to done, including waiting and approvals. Different from effort.</t>
        </is>
      </c>
      <c r="D42" s="21" t="n"/>
      <c r="E42" s="21" t="n"/>
      <c r="F42" s="21" t="n"/>
      <c r="G42" s="21" t="n"/>
      <c r="H42" s="21" t="n"/>
    </row>
    <row r="43" ht="28" customHeight="1">
      <c r="B43" s="39" t="inlineStr">
        <is>
          <t>Business risk if missed</t>
        </is>
      </c>
      <c r="C43" s="40" t="inlineStr">
        <is>
          <t>The impact if the item isn't done right or on time: legal, financial, operational or reputational.</t>
        </is>
      </c>
      <c r="D43" s="21" t="n"/>
      <c r="E43" s="21" t="n"/>
      <c r="F43" s="21" t="n"/>
      <c r="G43" s="21" t="n"/>
      <c r="H43" s="21" t="n"/>
    </row>
    <row r="44" ht="28" customHeight="1">
      <c r="B44" s="39" t="inlineStr">
        <is>
          <t>Customer disruption</t>
        </is>
      </c>
      <c r="C44" s="40" t="inlineStr">
        <is>
          <t>How much customers would feel it if the change went wrong.</t>
        </is>
      </c>
      <c r="D44" s="21" t="n"/>
      <c r="E44" s="21" t="n"/>
      <c r="F44" s="21" t="n"/>
      <c r="G44" s="21" t="n"/>
      <c r="H44" s="21" t="n"/>
    </row>
    <row r="45" ht="28" customHeight="1">
      <c r="B45" s="39" t="inlineStr">
        <is>
          <t>Old and new side by side?</t>
        </is>
      </c>
      <c r="C45" s="40" t="inlineStr">
        <is>
          <t>Whether the current and new versions can run in parallel during the transition.</t>
        </is>
      </c>
      <c r="D45" s="21" t="n"/>
      <c r="E45" s="21" t="n"/>
      <c r="F45" s="21" t="n"/>
      <c r="G45" s="21" t="n"/>
      <c r="H45" s="21" t="n"/>
    </row>
    <row r="46" ht="28" customHeight="1">
      <c r="B46" s="39" t="inlineStr">
        <is>
          <t>Disposition</t>
        </is>
      </c>
      <c r="C46" s="40" t="inlineStr">
        <is>
          <t>What should happen to the item: update, redirect, merge, keep as is, archive, retire or no change.</t>
        </is>
      </c>
      <c r="D46" s="21" t="n"/>
      <c r="E46" s="21" t="n"/>
      <c r="F46" s="21" t="n"/>
      <c r="G46" s="21" t="n"/>
      <c r="H46" s="21" t="n"/>
    </row>
    <row r="47" ht="28" customHeight="1">
      <c r="B47" s="39" t="inlineStr">
        <is>
          <t>Required timing</t>
        </is>
      </c>
      <c r="C47" s="40" t="inlineStr">
        <is>
          <t>When it must be done relative to cutover: before, on the day, or within 30, 90 or more days.</t>
        </is>
      </c>
      <c r="D47" s="21" t="n"/>
      <c r="E47" s="21" t="n"/>
      <c r="F47" s="21" t="n"/>
      <c r="G47" s="21" t="n"/>
      <c r="H47" s="21" t="n"/>
    </row>
  </sheetData>
  <mergeCells count="26">
    <mergeCell ref="C25:H25"/>
    <mergeCell ref="C41:H41"/>
    <mergeCell ref="C47:H47"/>
    <mergeCell ref="C44:H44"/>
    <mergeCell ref="C22:H22"/>
    <mergeCell ref="C40:H40"/>
    <mergeCell ref="C31:H31"/>
    <mergeCell ref="C43:H43"/>
    <mergeCell ref="C46:H46"/>
    <mergeCell ref="C36:H36"/>
    <mergeCell ref="C27:H27"/>
    <mergeCell ref="C23:H23"/>
    <mergeCell ref="C39:H39"/>
    <mergeCell ref="C32:H32"/>
    <mergeCell ref="C38:H38"/>
    <mergeCell ref="C28:H28"/>
    <mergeCell ref="C37:H37"/>
    <mergeCell ref="C34:H34"/>
    <mergeCell ref="C30:H30"/>
    <mergeCell ref="C33:H33"/>
    <mergeCell ref="C24:H24"/>
    <mergeCell ref="C42:H42"/>
    <mergeCell ref="C45:H45"/>
    <mergeCell ref="C35:H35"/>
    <mergeCell ref="C26:H26"/>
    <mergeCell ref="C29:H29"/>
  </mergeCell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2026-10-15T17:52:47Z</dcterms:created>
  <dcterms:modified xmlns:dcterms="http://purl.org/dc/terms/" xmlns:xsi="http://www.w3.org/2001/XMLSchema-instance" xsi:type="dcterms:W3CDTF">2026-10-15T17:52:50Z</dcterms:modified>
</cp:coreProperties>
</file>